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TC" sheetId="1" state="visible" r:id="rId1"/>
    <sheet xmlns:r="http://schemas.openxmlformats.org/officeDocument/2006/relationships" name="ETH" sheetId="2" state="visible" r:id="rId2"/>
    <sheet xmlns:r="http://schemas.openxmlformats.org/officeDocument/2006/relationships" name="SOL" sheetId="3" state="visible" r:id="rId3"/>
    <sheet xmlns:r="http://schemas.openxmlformats.org/officeDocument/2006/relationships" name="BCH" sheetId="4" state="visible" r:id="rId4"/>
    <sheet xmlns:r="http://schemas.openxmlformats.org/officeDocument/2006/relationships" name="USDT" sheetId="5" state="visible" r:id="rId5"/>
    <sheet xmlns:r="http://schemas.openxmlformats.org/officeDocument/2006/relationships" name="BNB" sheetId="6" state="visible" r:id="rId6"/>
    <sheet xmlns:r="http://schemas.openxmlformats.org/officeDocument/2006/relationships" name="Retiros" sheetId="7" state="visible" r:id="rId7"/>
    <sheet xmlns:r="http://schemas.openxmlformats.org/officeDocument/2006/relationships" name="ADA" sheetId="8" state="visible" r:id="rId8"/>
    <sheet xmlns:r="http://schemas.openxmlformats.org/officeDocument/2006/relationships" name="Totales" sheetId="9" state="visible" r:id="rId9"/>
    <sheet xmlns:r="http://schemas.openxmlformats.org/officeDocument/2006/relationships" name="Top 10 Cripto del momento" sheetId="10" state="visible" r:id="rId10"/>
    <sheet xmlns:r="http://schemas.openxmlformats.org/officeDocument/2006/relationships" name="Top 10 Cripto bajas" sheetId="11" state="visible" r:id="rId11"/>
    <sheet xmlns:r="http://schemas.openxmlformats.org/officeDocument/2006/relationships" name="Tendencia de mis criptos" sheetId="12" state="visible" r:id="rId12"/>
    <sheet xmlns:r="http://schemas.openxmlformats.org/officeDocument/2006/relationships" name="Binance Spot" sheetId="13" state="visible" r:id="rId13"/>
    <sheet xmlns:r="http://schemas.openxmlformats.org/officeDocument/2006/relationships" name="Binance Fond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color theme="1"/>
      <sz val="11"/>
      <scheme val="minor"/>
    </font>
    <font>
      <name val="Calibri"/>
      <b val="1"/>
      <color rgb="FFFFFFFF"/>
    </font>
    <font>
      <name val="Calibri"/>
      <b val="1"/>
      <color rgb="FFFFFFFF"/>
      <scheme val="minor"/>
    </font>
    <font>
      <name val="Calibri"/>
      <color theme="1"/>
      <sz val="11"/>
    </font>
    <font>
      <name val="Calibri"/>
      <color theme="1"/>
    </font>
    <font>
      <name val="Calibri"/>
      <color rgb="FFFFFFFF"/>
    </font>
    <font>
      <color rgb="FF0000FF"/>
      <u val="single"/>
    </font>
    <font>
      <name val="Calibri"/>
      <color theme="1"/>
      <scheme val="minor"/>
    </font>
    <font>
      <name val="Calibri"/>
      <b val="1"/>
      <color rgb="FFFFFF00"/>
      <scheme val="minor"/>
    </font>
    <font>
      <name val="Calibri"/>
      <b val="1"/>
      <color theme="1"/>
      <scheme val="minor"/>
    </font>
    <font>
      <b val="1"/>
      <color rgb="00FFFFFF"/>
    </font>
    <font>
      <b val="1"/>
    </font>
    <font>
      <b val="1"/>
      <color rgb="00FFFF00"/>
    </font>
  </fonts>
  <fills count="439">
    <fill>
      <patternFill/>
    </fill>
    <fill>
      <patternFill patternType="lightGray"/>
    </fill>
    <fill>
      <patternFill patternType="solid">
        <fgColor rgb="FFEB0D34"/>
        <bgColor rgb="FFEB0D34"/>
      </patternFill>
    </fill>
    <fill>
      <patternFill patternType="solid">
        <fgColor rgb="FF22066D"/>
        <bgColor rgb="FF22066D"/>
      </patternFill>
    </fill>
    <fill>
      <patternFill patternType="solid">
        <fgColor rgb="FF2C1767"/>
        <bgColor rgb="FF2C1767"/>
      </patternFill>
    </fill>
    <fill>
      <patternFill patternType="solid">
        <fgColor rgb="FF79F86E"/>
        <bgColor rgb="FF79F86E"/>
      </patternFill>
    </fill>
    <fill>
      <patternFill patternType="solid">
        <fgColor rgb="FF0CE134"/>
        <bgColor rgb="FF0CE134"/>
      </patternFill>
    </fill>
    <fill>
      <patternFill patternType="solid">
        <fgColor rgb="FF837CBC"/>
        <bgColor rgb="FF837CBC"/>
      </patternFill>
    </fill>
    <fill>
      <patternFill patternType="solid">
        <fgColor rgb="FF06402B"/>
        <bgColor rgb="FF06402B"/>
      </patternFill>
    </fill>
    <fill>
      <patternFill patternType="solid">
        <fgColor rgb="FFF5157C"/>
        <bgColor rgb="FFF5157C"/>
      </patternFill>
    </fill>
    <fill>
      <patternFill patternType="solid">
        <fgColor rgb="FF9031EF"/>
        <bgColor rgb="FF9031EF"/>
      </patternFill>
    </fill>
    <fill>
      <patternFill patternType="solid">
        <fgColor rgb="FF817DE9"/>
        <bgColor rgb="FF817DE9"/>
      </patternFill>
    </fill>
    <fill>
      <patternFill patternType="solid">
        <fgColor rgb="FF501C81"/>
        <bgColor rgb="FF501C81"/>
      </patternFill>
    </fill>
    <fill>
      <patternFill patternType="solid">
        <fgColor rgb="FF582D09"/>
        <bgColor rgb="FF582D09"/>
      </patternFill>
    </fill>
    <fill>
      <patternFill patternType="solid">
        <fgColor rgb="FF000000"/>
        <bgColor rgb="FF000000"/>
      </patternFill>
    </fill>
    <fill>
      <patternFill patternType="solid">
        <fgColor rgb="FF38761D"/>
        <bgColor rgb="FF38761D"/>
      </patternFill>
    </fill>
    <fill>
      <patternFill patternType="solid">
        <fgColor rgb="FF87586B"/>
        <bgColor rgb="FF87586B"/>
      </patternFill>
    </fill>
    <fill>
      <patternFill patternType="solid">
        <fgColor rgb="FF6FFDE6"/>
        <bgColor rgb="FF6FFDE6"/>
      </patternFill>
    </fill>
    <fill>
      <patternFill patternType="solid">
        <fgColor rgb="FFD3BD82"/>
        <bgColor rgb="FFD3BD82"/>
      </patternFill>
    </fill>
    <fill>
      <patternFill patternType="solid">
        <fgColor rgb="FFED2A94"/>
        <bgColor rgb="FFED2A94"/>
      </patternFill>
    </fill>
    <fill>
      <patternFill patternType="solid">
        <fgColor rgb="FFF8E3AC"/>
        <bgColor rgb="FFF8E3AC"/>
      </patternFill>
    </fill>
    <fill>
      <patternFill patternType="solid">
        <fgColor rgb="FF222222"/>
        <bgColor rgb="FF222222"/>
      </patternFill>
    </fill>
    <fill>
      <patternFill patternType="solid">
        <fgColor rgb="009AA68F"/>
        <bgColor rgb="009AA68F"/>
      </patternFill>
    </fill>
    <fill>
      <patternFill patternType="solid">
        <fgColor rgb="00F509F8"/>
        <bgColor rgb="00F509F8"/>
      </patternFill>
    </fill>
    <fill>
      <patternFill patternType="solid">
        <fgColor rgb="0067EF6A"/>
        <bgColor rgb="0067EF6A"/>
      </patternFill>
    </fill>
    <fill>
      <patternFill patternType="solid">
        <fgColor rgb="005C69F7"/>
        <bgColor rgb="005C69F7"/>
      </patternFill>
    </fill>
    <fill>
      <patternFill patternType="solid">
        <fgColor rgb="00593515"/>
        <bgColor rgb="00593515"/>
      </patternFill>
    </fill>
    <fill>
      <patternFill patternType="solid">
        <fgColor rgb="0029EF84"/>
        <bgColor rgb="0029EF84"/>
      </patternFill>
    </fill>
    <fill>
      <patternFill patternType="solid">
        <fgColor rgb="00222222"/>
        <bgColor rgb="00222222"/>
      </patternFill>
    </fill>
    <fill>
      <patternFill patternType="solid">
        <fgColor rgb="00C57906"/>
        <bgColor rgb="00C57906"/>
      </patternFill>
    </fill>
    <fill>
      <patternFill patternType="solid">
        <fgColor rgb="00DD56B6"/>
        <bgColor rgb="00DD56B6"/>
      </patternFill>
    </fill>
    <fill>
      <patternFill patternType="solid">
        <fgColor rgb="0026DAA0"/>
        <bgColor rgb="0026DAA0"/>
      </patternFill>
    </fill>
    <fill>
      <patternFill patternType="solid">
        <fgColor rgb="0070E049"/>
        <bgColor rgb="0070E049"/>
      </patternFill>
    </fill>
    <fill>
      <patternFill patternType="solid">
        <fgColor rgb="0073A89E"/>
        <bgColor rgb="0073A89E"/>
      </patternFill>
    </fill>
    <fill>
      <patternFill patternType="solid">
        <fgColor rgb="0041C7D9"/>
        <bgColor rgb="0041C7D9"/>
      </patternFill>
    </fill>
    <fill>
      <patternFill patternType="solid">
        <fgColor rgb="004B2C0C"/>
        <bgColor rgb="004B2C0C"/>
      </patternFill>
    </fill>
    <fill>
      <patternFill patternType="solid">
        <fgColor rgb="00EB356E"/>
        <bgColor rgb="00EB356E"/>
      </patternFill>
    </fill>
    <fill>
      <patternFill patternType="solid">
        <fgColor rgb="00581215"/>
        <bgColor rgb="00581215"/>
      </patternFill>
    </fill>
    <fill>
      <patternFill patternType="solid">
        <fgColor rgb="00F8E4CC"/>
        <bgColor rgb="00F8E4CC"/>
      </patternFill>
    </fill>
    <fill>
      <patternFill patternType="solid">
        <fgColor rgb="00093FAF"/>
        <bgColor rgb="00093FAF"/>
      </patternFill>
    </fill>
    <fill>
      <patternFill patternType="solid">
        <fgColor rgb="0030266F"/>
        <bgColor rgb="0030266F"/>
      </patternFill>
    </fill>
    <fill>
      <patternFill patternType="solid">
        <fgColor rgb="0059EA67"/>
        <bgColor rgb="0059EA67"/>
      </patternFill>
    </fill>
    <fill>
      <patternFill patternType="solid">
        <fgColor rgb="00B27935"/>
        <bgColor rgb="00B27935"/>
      </patternFill>
    </fill>
    <fill>
      <patternFill patternType="solid">
        <fgColor rgb="002F48CC"/>
        <bgColor rgb="002F48CC"/>
      </patternFill>
    </fill>
    <fill>
      <patternFill patternType="solid">
        <fgColor rgb="008AB3F0"/>
        <bgColor rgb="008AB3F0"/>
      </patternFill>
    </fill>
    <fill>
      <patternFill patternType="solid">
        <fgColor rgb="001F3F53"/>
        <bgColor rgb="001F3F53"/>
      </patternFill>
    </fill>
    <fill>
      <patternFill patternType="solid">
        <fgColor rgb="006EBBD2"/>
        <bgColor rgb="006EBBD2"/>
      </patternFill>
    </fill>
    <fill>
      <patternFill patternType="solid"/>
    </fill>
    <fill>
      <patternFill patternType="solid">
        <fgColor rgb="0099A523"/>
        <bgColor rgb="0099A523"/>
      </patternFill>
    </fill>
    <fill>
      <patternFill patternType="solid">
        <fgColor rgb="00C3704F"/>
        <bgColor rgb="00C3704F"/>
      </patternFill>
    </fill>
    <fill>
      <patternFill patternType="solid">
        <fgColor rgb="00445F5D"/>
        <bgColor rgb="00445F5D"/>
      </patternFill>
    </fill>
    <fill>
      <patternFill patternType="solid">
        <fgColor rgb="00F5EAA1"/>
        <bgColor rgb="00F5EAA1"/>
      </patternFill>
    </fill>
    <fill>
      <patternFill patternType="solid">
        <fgColor rgb="00B29463"/>
        <bgColor rgb="00B29463"/>
      </patternFill>
    </fill>
    <fill>
      <patternFill patternType="solid">
        <fgColor rgb="001DBD3C"/>
        <bgColor rgb="001DBD3C"/>
      </patternFill>
    </fill>
    <fill>
      <patternFill patternType="solid">
        <fgColor rgb="0061C576"/>
        <bgColor rgb="0061C576"/>
      </patternFill>
    </fill>
    <fill>
      <patternFill patternType="solid">
        <fgColor rgb="00C00A6E"/>
        <bgColor rgb="00C00A6E"/>
      </patternFill>
    </fill>
    <fill>
      <patternFill patternType="solid">
        <fgColor rgb="00D02A3E"/>
        <bgColor rgb="00D02A3E"/>
      </patternFill>
    </fill>
    <fill>
      <patternFill patternType="solid">
        <fgColor rgb="0048AF9D"/>
        <bgColor rgb="0048AF9D"/>
      </patternFill>
    </fill>
    <fill>
      <patternFill patternType="solid">
        <fgColor rgb="001A0AAB"/>
        <bgColor rgb="001A0AAB"/>
      </patternFill>
    </fill>
    <fill>
      <patternFill patternType="solid">
        <fgColor rgb="00FF18A3"/>
        <bgColor rgb="00FF18A3"/>
      </patternFill>
    </fill>
    <fill>
      <patternFill patternType="solid">
        <fgColor rgb="00B6E3BA"/>
        <bgColor rgb="00B6E3BA"/>
      </patternFill>
    </fill>
    <fill>
      <patternFill patternType="solid">
        <fgColor rgb="0013B55A"/>
        <bgColor rgb="0013B55A"/>
      </patternFill>
    </fill>
    <fill>
      <patternFill patternType="solid">
        <fgColor rgb="00FBAE82"/>
        <bgColor rgb="00FBAE82"/>
      </patternFill>
    </fill>
    <fill>
      <patternFill patternType="solid">
        <fgColor rgb="00328A7D"/>
        <bgColor rgb="00328A7D"/>
      </patternFill>
    </fill>
    <fill>
      <patternFill patternType="solid">
        <fgColor rgb="004F19FA"/>
        <bgColor rgb="004F19FA"/>
      </patternFill>
    </fill>
    <fill>
      <patternFill patternType="solid">
        <fgColor rgb="000C29FE"/>
        <bgColor rgb="000C29FE"/>
      </patternFill>
    </fill>
    <fill>
      <patternFill patternType="solid">
        <fgColor rgb="009BF859"/>
        <bgColor rgb="009BF859"/>
      </patternFill>
    </fill>
    <fill>
      <patternFill patternType="solid">
        <fgColor rgb="002258AF"/>
        <bgColor rgb="002258AF"/>
      </patternFill>
    </fill>
    <fill>
      <patternFill patternType="solid">
        <fgColor rgb="002C0D1D"/>
        <bgColor rgb="002C0D1D"/>
      </patternFill>
    </fill>
    <fill>
      <patternFill patternType="solid">
        <fgColor rgb="00A48D95"/>
        <bgColor rgb="00A48D95"/>
      </patternFill>
    </fill>
    <fill>
      <patternFill patternType="solid">
        <fgColor rgb="00C86B45"/>
        <bgColor rgb="00C86B45"/>
      </patternFill>
    </fill>
    <fill>
      <patternFill patternType="solid">
        <fgColor rgb="00A3826B"/>
        <bgColor rgb="00A3826B"/>
      </patternFill>
    </fill>
    <fill>
      <patternFill patternType="solid">
        <fgColor rgb="006EEDCC"/>
        <bgColor rgb="006EEDCC"/>
      </patternFill>
    </fill>
    <fill>
      <patternFill patternType="solid">
        <fgColor rgb="00EB4E17"/>
        <bgColor rgb="00EB4E17"/>
      </patternFill>
    </fill>
    <fill>
      <patternFill patternType="solid">
        <fgColor rgb="00274695"/>
        <bgColor rgb="00274695"/>
      </patternFill>
    </fill>
    <fill>
      <patternFill patternType="solid">
        <fgColor rgb="006BCF1D"/>
        <bgColor rgb="006BCF1D"/>
      </patternFill>
    </fill>
    <fill>
      <patternFill patternType="solid">
        <fgColor rgb="00A8319B"/>
        <bgColor rgb="00A8319B"/>
      </patternFill>
    </fill>
    <fill>
      <patternFill patternType="solid">
        <fgColor rgb="004C1CA8"/>
        <bgColor rgb="004C1CA8"/>
      </patternFill>
    </fill>
    <fill>
      <patternFill patternType="solid">
        <fgColor rgb="0005E19F"/>
        <bgColor rgb="0005E19F"/>
      </patternFill>
    </fill>
    <fill>
      <patternFill patternType="solid">
        <fgColor rgb="006B412B"/>
        <bgColor rgb="006B412B"/>
      </patternFill>
    </fill>
    <fill>
      <patternFill patternType="solid">
        <fgColor rgb="00AB7068"/>
        <bgColor rgb="00AB7068"/>
      </patternFill>
    </fill>
    <fill>
      <patternFill patternType="solid">
        <fgColor rgb="00E3D240"/>
        <bgColor rgb="00E3D240"/>
      </patternFill>
    </fill>
    <fill>
      <patternFill patternType="solid">
        <fgColor rgb="0099E866"/>
        <bgColor rgb="0099E866"/>
      </patternFill>
    </fill>
    <fill>
      <patternFill patternType="solid">
        <fgColor rgb="00F72DB8"/>
        <bgColor rgb="00F72DB8"/>
      </patternFill>
    </fill>
    <fill>
      <patternFill patternType="solid">
        <fgColor rgb="0018DE76"/>
        <bgColor rgb="0018DE76"/>
      </patternFill>
    </fill>
    <fill>
      <patternFill patternType="solid">
        <fgColor rgb="00C20B36"/>
        <bgColor rgb="00C20B36"/>
      </patternFill>
    </fill>
    <fill>
      <patternFill patternType="solid">
        <fgColor rgb="003D6415"/>
        <bgColor rgb="003D6415"/>
      </patternFill>
    </fill>
    <fill>
      <patternFill patternType="solid">
        <fgColor rgb="008AD36F"/>
        <bgColor rgb="008AD36F"/>
      </patternFill>
    </fill>
    <fill>
      <patternFill patternType="solid">
        <fgColor rgb="00D438F5"/>
        <bgColor rgb="00D438F5"/>
      </patternFill>
    </fill>
    <fill>
      <patternFill patternType="solid">
        <fgColor rgb="00D18D43"/>
        <bgColor rgb="00D18D43"/>
      </patternFill>
    </fill>
    <fill>
      <patternFill patternType="solid">
        <fgColor rgb="002276E2"/>
        <bgColor rgb="002276E2"/>
      </patternFill>
    </fill>
    <fill>
      <patternFill patternType="solid">
        <fgColor rgb="00C22304"/>
        <bgColor rgb="00C22304"/>
      </patternFill>
    </fill>
    <fill>
      <patternFill patternType="solid">
        <fgColor rgb="0067BEEB"/>
        <bgColor rgb="0067BEEB"/>
      </patternFill>
    </fill>
    <fill>
      <patternFill patternType="solid">
        <fgColor rgb="00415211"/>
        <bgColor rgb="00415211"/>
      </patternFill>
    </fill>
    <fill>
      <patternFill patternType="solid">
        <fgColor rgb="00271B1B"/>
        <bgColor rgb="00271B1B"/>
      </patternFill>
    </fill>
    <fill>
      <patternFill patternType="solid">
        <fgColor rgb="00422944"/>
        <bgColor rgb="00422944"/>
      </patternFill>
    </fill>
    <fill>
      <patternFill patternType="solid">
        <fgColor rgb="0065D0D4"/>
        <bgColor rgb="0065D0D4"/>
      </patternFill>
    </fill>
    <fill>
      <patternFill patternType="solid">
        <fgColor rgb="001410E9"/>
        <bgColor rgb="001410E9"/>
      </patternFill>
    </fill>
    <fill>
      <patternFill patternType="solid">
        <fgColor rgb="00DF0050"/>
        <bgColor rgb="00DF0050"/>
      </patternFill>
    </fill>
    <fill>
      <patternFill patternType="solid">
        <fgColor rgb="0035A076"/>
        <bgColor rgb="0035A076"/>
      </patternFill>
    </fill>
    <fill>
      <patternFill patternType="solid">
        <fgColor rgb="008B7245"/>
        <bgColor rgb="008B7245"/>
      </patternFill>
    </fill>
    <fill>
      <patternFill patternType="solid">
        <fgColor rgb="0025D49E"/>
        <bgColor rgb="0025D49E"/>
      </patternFill>
    </fill>
    <fill>
      <patternFill patternType="solid">
        <fgColor rgb="00F68CA5"/>
        <bgColor rgb="00F68CA5"/>
      </patternFill>
    </fill>
    <fill>
      <patternFill patternType="solid">
        <fgColor rgb="0076E478"/>
        <bgColor rgb="0076E478"/>
      </patternFill>
    </fill>
    <fill>
      <patternFill patternType="solid">
        <fgColor rgb="00EBABB0"/>
        <bgColor rgb="00EBABB0"/>
      </patternFill>
    </fill>
    <fill>
      <patternFill patternType="solid">
        <fgColor rgb="002E2474"/>
        <bgColor rgb="002E2474"/>
      </patternFill>
    </fill>
    <fill>
      <patternFill patternType="solid">
        <fgColor rgb="008200AA"/>
        <bgColor rgb="008200AA"/>
      </patternFill>
    </fill>
    <fill>
      <patternFill patternType="solid">
        <fgColor rgb="007B6A92"/>
        <bgColor rgb="007B6A92"/>
      </patternFill>
    </fill>
    <fill>
      <patternFill patternType="solid">
        <fgColor rgb="00582495"/>
        <bgColor rgb="00582495"/>
      </patternFill>
    </fill>
    <fill>
      <patternFill patternType="solid">
        <fgColor rgb="00A230FF"/>
        <bgColor rgb="00A230FF"/>
      </patternFill>
    </fill>
    <fill>
      <patternFill patternType="solid">
        <fgColor rgb="00CEBE3E"/>
        <bgColor rgb="00CEBE3E"/>
      </patternFill>
    </fill>
    <fill>
      <patternFill patternType="solid">
        <fgColor rgb="0004BE4C"/>
        <bgColor rgb="0004BE4C"/>
      </patternFill>
    </fill>
    <fill>
      <patternFill patternType="solid">
        <fgColor rgb="003DC906"/>
        <bgColor rgb="003DC906"/>
      </patternFill>
    </fill>
    <fill>
      <patternFill patternType="solid">
        <fgColor rgb="00AC6655"/>
        <bgColor rgb="00AC6655"/>
      </patternFill>
    </fill>
    <fill>
      <patternFill patternType="solid">
        <fgColor rgb="00DEEBF9"/>
        <bgColor rgb="00DEEBF9"/>
      </patternFill>
    </fill>
    <fill>
      <patternFill patternType="solid">
        <fgColor rgb="0050BC19"/>
        <bgColor rgb="0050BC19"/>
      </patternFill>
    </fill>
    <fill>
      <patternFill patternType="solid">
        <fgColor rgb="006F37B9"/>
        <bgColor rgb="006F37B9"/>
      </patternFill>
    </fill>
    <fill>
      <patternFill patternType="solid">
        <fgColor rgb="0035C8D1"/>
        <bgColor rgb="0035C8D1"/>
      </patternFill>
    </fill>
    <fill>
      <patternFill patternType="solid">
        <fgColor rgb="009CB9C2"/>
        <bgColor rgb="009CB9C2"/>
      </patternFill>
    </fill>
    <fill>
      <patternFill patternType="solid">
        <fgColor rgb="00725698"/>
        <bgColor rgb="00725698"/>
      </patternFill>
    </fill>
    <fill>
      <patternFill patternType="solid">
        <fgColor rgb="004EE91D"/>
        <bgColor rgb="004EE91D"/>
      </patternFill>
    </fill>
    <fill>
      <patternFill patternType="solid">
        <fgColor rgb="00ED9B80"/>
        <bgColor rgb="00ED9B80"/>
      </patternFill>
    </fill>
    <fill>
      <patternFill patternType="solid">
        <fgColor rgb="00634E7A"/>
        <bgColor rgb="00634E7A"/>
      </patternFill>
    </fill>
    <fill>
      <patternFill patternType="solid">
        <fgColor rgb="00B9B1B2"/>
        <bgColor rgb="00B9B1B2"/>
      </patternFill>
    </fill>
    <fill>
      <patternFill patternType="solid">
        <fgColor rgb="00C92F7B"/>
        <bgColor rgb="00C92F7B"/>
      </patternFill>
    </fill>
    <fill>
      <patternFill patternType="solid">
        <fgColor rgb="0006B9F9"/>
        <bgColor rgb="0006B9F9"/>
      </patternFill>
    </fill>
    <fill>
      <patternFill patternType="solid">
        <fgColor rgb="000728D6"/>
        <bgColor rgb="000728D6"/>
      </patternFill>
    </fill>
    <fill>
      <patternFill patternType="solid">
        <fgColor rgb="00515437"/>
        <bgColor rgb="00515437"/>
      </patternFill>
    </fill>
    <fill>
      <patternFill patternType="solid">
        <fgColor rgb="0005F40A"/>
        <bgColor rgb="0005F40A"/>
      </patternFill>
    </fill>
    <fill>
      <patternFill patternType="solid">
        <fgColor rgb="00B66981"/>
        <bgColor rgb="00B66981"/>
      </patternFill>
    </fill>
    <fill>
      <patternFill patternType="solid">
        <fgColor rgb="00358DC5"/>
        <bgColor rgb="00358DC5"/>
      </patternFill>
    </fill>
    <fill>
      <patternFill patternType="solid">
        <fgColor rgb="00D203BA"/>
        <bgColor rgb="00D203BA"/>
      </patternFill>
    </fill>
    <fill>
      <patternFill patternType="solid">
        <fgColor rgb="00093A89"/>
        <bgColor rgb="00093A89"/>
      </patternFill>
    </fill>
    <fill>
      <patternFill patternType="solid">
        <fgColor rgb="00487FD4"/>
        <bgColor rgb="00487FD4"/>
      </patternFill>
    </fill>
    <fill>
      <patternFill patternType="solid">
        <fgColor rgb="00DAE4DA"/>
        <bgColor rgb="00DAE4DA"/>
      </patternFill>
    </fill>
    <fill>
      <patternFill patternType="solid">
        <fgColor rgb="00DB25AA"/>
        <bgColor rgb="00DB25AA"/>
      </patternFill>
    </fill>
    <fill>
      <patternFill patternType="solid">
        <fgColor rgb="00408C27"/>
        <bgColor rgb="00408C27"/>
      </patternFill>
    </fill>
    <fill>
      <patternFill patternType="solid">
        <fgColor rgb="000A2F0A"/>
        <bgColor rgb="000A2F0A"/>
      </patternFill>
    </fill>
    <fill>
      <patternFill patternType="solid">
        <fgColor rgb="00D60E62"/>
        <bgColor rgb="00D60E62"/>
      </patternFill>
    </fill>
    <fill>
      <patternFill patternType="solid">
        <fgColor rgb="005CB5A9"/>
        <bgColor rgb="005CB5A9"/>
      </patternFill>
    </fill>
    <fill>
      <patternFill patternType="solid">
        <fgColor rgb="00E0DECB"/>
        <bgColor rgb="00E0DECB"/>
      </patternFill>
    </fill>
    <fill>
      <patternFill patternType="solid">
        <fgColor rgb="006179C2"/>
        <bgColor rgb="006179C2"/>
      </patternFill>
    </fill>
    <fill>
      <patternFill patternType="solid">
        <fgColor rgb="0011264B"/>
        <bgColor rgb="0011264B"/>
      </patternFill>
    </fill>
    <fill>
      <patternFill patternType="solid">
        <fgColor rgb="009E1F96"/>
        <bgColor rgb="009E1F96"/>
      </patternFill>
    </fill>
    <fill>
      <patternFill patternType="solid">
        <fgColor rgb="00CBCBE4"/>
        <bgColor rgb="00CBCBE4"/>
      </patternFill>
    </fill>
    <fill>
      <patternFill patternType="solid">
        <fgColor rgb="00B2FE8D"/>
        <bgColor rgb="00B2FE8D"/>
      </patternFill>
    </fill>
    <fill>
      <patternFill patternType="solid">
        <fgColor rgb="00E3C3DA"/>
        <bgColor rgb="00E3C3DA"/>
      </patternFill>
    </fill>
    <fill>
      <patternFill patternType="solid">
        <fgColor rgb="00E36F06"/>
        <bgColor rgb="00E36F06"/>
      </patternFill>
    </fill>
    <fill>
      <patternFill patternType="solid">
        <fgColor rgb="006F866B"/>
        <bgColor rgb="006F866B"/>
      </patternFill>
    </fill>
    <fill>
      <patternFill patternType="solid">
        <fgColor rgb="0058BD44"/>
        <bgColor rgb="0058BD44"/>
      </patternFill>
    </fill>
    <fill>
      <patternFill patternType="solid">
        <fgColor rgb="00B63E1D"/>
        <bgColor rgb="00B63E1D"/>
      </patternFill>
    </fill>
    <fill>
      <patternFill patternType="solid">
        <fgColor rgb="000848DA"/>
        <bgColor rgb="000848DA"/>
      </patternFill>
    </fill>
    <fill>
      <patternFill patternType="solid">
        <fgColor rgb="0065044C"/>
        <bgColor rgb="0065044C"/>
      </patternFill>
    </fill>
    <fill>
      <patternFill patternType="solid">
        <fgColor rgb="00B621B2"/>
        <bgColor rgb="00B621B2"/>
      </patternFill>
    </fill>
    <fill>
      <patternFill patternType="solid">
        <fgColor rgb="00D1EF82"/>
        <bgColor rgb="00D1EF82"/>
      </patternFill>
    </fill>
    <fill>
      <patternFill patternType="solid">
        <fgColor rgb="0034ED6C"/>
        <bgColor rgb="0034ED6C"/>
      </patternFill>
    </fill>
    <fill>
      <patternFill patternType="solid">
        <fgColor rgb="00F88348"/>
        <bgColor rgb="00F88348"/>
      </patternFill>
    </fill>
    <fill>
      <patternFill patternType="solid">
        <fgColor rgb="009A23E0"/>
        <bgColor rgb="009A23E0"/>
      </patternFill>
    </fill>
    <fill>
      <patternFill patternType="solid">
        <fgColor rgb="000D67E7"/>
        <bgColor rgb="000D67E7"/>
      </patternFill>
    </fill>
    <fill>
      <patternFill patternType="solid">
        <fgColor rgb="008C0571"/>
        <bgColor rgb="008C0571"/>
      </patternFill>
    </fill>
    <fill>
      <patternFill patternType="solid">
        <fgColor rgb="00EFD018"/>
        <bgColor rgb="00EFD018"/>
      </patternFill>
    </fill>
    <fill>
      <patternFill patternType="solid">
        <fgColor rgb="0021F2CB"/>
        <bgColor rgb="0021F2CB"/>
      </patternFill>
    </fill>
    <fill>
      <patternFill patternType="solid">
        <fgColor rgb="005241E1"/>
        <bgColor rgb="005241E1"/>
      </patternFill>
    </fill>
    <fill>
      <patternFill patternType="solid">
        <fgColor rgb="00C308A0"/>
        <bgColor rgb="00C308A0"/>
      </patternFill>
    </fill>
    <fill>
      <patternFill patternType="solid">
        <fgColor rgb="0005495E"/>
        <bgColor rgb="0005495E"/>
      </patternFill>
    </fill>
    <fill>
      <patternFill patternType="solid">
        <fgColor rgb="00756ACF"/>
        <bgColor rgb="00756ACF"/>
      </patternFill>
    </fill>
    <fill>
      <patternFill patternType="solid">
        <fgColor rgb="003CA715"/>
        <bgColor rgb="003CA715"/>
      </patternFill>
    </fill>
    <fill>
      <patternFill patternType="solid">
        <fgColor rgb="00CD0670"/>
        <bgColor rgb="00CD0670"/>
      </patternFill>
    </fill>
    <fill>
      <patternFill patternType="solid">
        <fgColor rgb="000D3882"/>
        <bgColor rgb="000D3882"/>
      </patternFill>
    </fill>
    <fill>
      <patternFill patternType="solid">
        <fgColor rgb="00D84882"/>
        <bgColor rgb="00D84882"/>
      </patternFill>
    </fill>
    <fill>
      <patternFill patternType="solid">
        <fgColor rgb="00D1D745"/>
        <bgColor rgb="00D1D745"/>
      </patternFill>
    </fill>
    <fill>
      <patternFill patternType="solid">
        <fgColor rgb="0097F34A"/>
        <bgColor rgb="0097F34A"/>
      </patternFill>
    </fill>
    <fill>
      <patternFill patternType="solid">
        <fgColor rgb="00A2AA5D"/>
        <bgColor rgb="00A2AA5D"/>
      </patternFill>
    </fill>
    <fill>
      <patternFill patternType="solid">
        <fgColor rgb="00085285"/>
        <bgColor rgb="00085285"/>
      </patternFill>
    </fill>
    <fill>
      <patternFill patternType="solid">
        <fgColor rgb="006648C7"/>
        <bgColor rgb="006648C7"/>
      </patternFill>
    </fill>
    <fill>
      <patternFill patternType="solid">
        <fgColor rgb="0023AE46"/>
        <bgColor rgb="0023AE46"/>
      </patternFill>
    </fill>
    <fill>
      <patternFill patternType="solid">
        <fgColor rgb="008C4688"/>
        <bgColor rgb="008C4688"/>
      </patternFill>
    </fill>
    <fill>
      <patternFill patternType="solid">
        <fgColor rgb="00718A4F"/>
        <bgColor rgb="00718A4F"/>
      </patternFill>
    </fill>
    <fill>
      <patternFill patternType="solid">
        <fgColor rgb="00719FAB"/>
        <bgColor rgb="00719FAB"/>
      </patternFill>
    </fill>
    <fill>
      <patternFill patternType="solid">
        <fgColor rgb="00830644"/>
        <bgColor rgb="00830644"/>
      </patternFill>
    </fill>
    <fill>
      <patternFill patternType="solid">
        <fgColor rgb="0028E844"/>
        <bgColor rgb="0028E844"/>
      </patternFill>
    </fill>
    <fill>
      <patternFill patternType="solid">
        <fgColor rgb="00ED18A8"/>
        <bgColor rgb="00ED18A8"/>
      </patternFill>
    </fill>
    <fill>
      <patternFill patternType="solid">
        <fgColor rgb="00759139"/>
        <bgColor rgb="00759139"/>
      </patternFill>
    </fill>
    <fill>
      <patternFill patternType="solid">
        <fgColor rgb="003BEEA7"/>
        <bgColor rgb="003BEEA7"/>
      </patternFill>
    </fill>
    <fill>
      <patternFill patternType="solid">
        <fgColor rgb="007B3DC9"/>
        <bgColor rgb="007B3DC9"/>
      </patternFill>
    </fill>
    <fill>
      <patternFill patternType="solid">
        <fgColor rgb="00112C31"/>
        <bgColor rgb="00112C31"/>
      </patternFill>
    </fill>
    <fill>
      <patternFill patternType="solid">
        <fgColor rgb="0003C181"/>
        <bgColor rgb="0003C181"/>
      </patternFill>
    </fill>
    <fill>
      <patternFill patternType="solid">
        <fgColor rgb="00D450E7"/>
        <bgColor rgb="00D450E7"/>
      </patternFill>
    </fill>
    <fill>
      <patternFill patternType="solid">
        <fgColor rgb="00D540FD"/>
        <bgColor rgb="00D540FD"/>
      </patternFill>
    </fill>
    <fill>
      <patternFill patternType="solid">
        <fgColor rgb="006CDD83"/>
        <bgColor rgb="006CDD83"/>
      </patternFill>
    </fill>
    <fill>
      <patternFill patternType="solid">
        <fgColor rgb="001D1D6D"/>
        <bgColor rgb="001D1D6D"/>
      </patternFill>
    </fill>
    <fill>
      <patternFill patternType="solid">
        <fgColor rgb="00F87E4D"/>
        <bgColor rgb="00F87E4D"/>
      </patternFill>
    </fill>
    <fill>
      <patternFill patternType="solid">
        <fgColor rgb="0081673A"/>
        <bgColor rgb="0081673A"/>
      </patternFill>
    </fill>
    <fill>
      <patternFill patternType="solid">
        <fgColor rgb="0093BD71"/>
        <bgColor rgb="0093BD71"/>
      </patternFill>
    </fill>
    <fill>
      <patternFill patternType="solid">
        <fgColor rgb="0086B093"/>
        <bgColor rgb="0086B093"/>
      </patternFill>
    </fill>
    <fill>
      <patternFill patternType="solid">
        <fgColor rgb="00C4BD76"/>
        <bgColor rgb="00C4BD76"/>
      </patternFill>
    </fill>
    <fill>
      <patternFill patternType="solid">
        <fgColor rgb="005E5D26"/>
        <bgColor rgb="005E5D26"/>
      </patternFill>
    </fill>
    <fill>
      <patternFill patternType="solid">
        <fgColor rgb="006B22DF"/>
        <bgColor rgb="006B22DF"/>
      </patternFill>
    </fill>
    <fill>
      <patternFill patternType="solid">
        <fgColor rgb="0054D69B"/>
        <bgColor rgb="0054D69B"/>
      </patternFill>
    </fill>
    <fill>
      <patternFill patternType="solid">
        <fgColor rgb="0065A673"/>
        <bgColor rgb="0065A673"/>
      </patternFill>
    </fill>
    <fill>
      <patternFill patternType="solid">
        <fgColor rgb="00936DC4"/>
        <bgColor rgb="00936DC4"/>
      </patternFill>
    </fill>
    <fill>
      <patternFill patternType="solid">
        <fgColor rgb="004B3D7C"/>
        <bgColor rgb="004B3D7C"/>
      </patternFill>
    </fill>
    <fill>
      <patternFill patternType="solid">
        <fgColor rgb="00270E1F"/>
        <bgColor rgb="00270E1F"/>
      </patternFill>
    </fill>
    <fill>
      <patternFill patternType="solid">
        <fgColor rgb="00AD261A"/>
        <bgColor rgb="00AD261A"/>
      </patternFill>
    </fill>
    <fill>
      <patternFill patternType="solid">
        <fgColor rgb="0047802D"/>
        <bgColor rgb="0047802D"/>
      </patternFill>
    </fill>
    <fill>
      <patternFill patternType="solid">
        <fgColor rgb="0002ADD8"/>
        <bgColor rgb="0002ADD8"/>
      </patternFill>
    </fill>
    <fill>
      <patternFill patternType="solid">
        <fgColor rgb="00D8F3F6"/>
        <bgColor rgb="00D8F3F6"/>
      </patternFill>
    </fill>
    <fill>
      <patternFill patternType="solid">
        <fgColor rgb="00B1547B"/>
        <bgColor rgb="00B1547B"/>
      </patternFill>
    </fill>
    <fill>
      <patternFill patternType="solid">
        <fgColor rgb="00B42815"/>
        <bgColor rgb="00B42815"/>
      </patternFill>
    </fill>
    <fill>
      <patternFill patternType="solid">
        <fgColor rgb="005437AE"/>
        <bgColor rgb="005437AE"/>
      </patternFill>
    </fill>
    <fill>
      <patternFill patternType="solid">
        <fgColor rgb="00100321"/>
        <bgColor rgb="00100321"/>
      </patternFill>
    </fill>
    <fill>
      <patternFill patternType="solid">
        <fgColor rgb="0073089D"/>
        <bgColor rgb="0073089D"/>
      </patternFill>
    </fill>
    <fill>
      <patternFill patternType="solid">
        <fgColor rgb="00367068"/>
        <bgColor rgb="00367068"/>
      </patternFill>
    </fill>
    <fill>
      <patternFill patternType="solid">
        <fgColor rgb="004FF360"/>
        <bgColor rgb="004FF360"/>
      </patternFill>
    </fill>
    <fill>
      <patternFill patternType="solid">
        <fgColor rgb="002CE7DE"/>
        <bgColor rgb="002CE7DE"/>
      </patternFill>
    </fill>
    <fill>
      <patternFill patternType="solid">
        <fgColor rgb="00E1D25D"/>
        <bgColor rgb="00E1D25D"/>
      </patternFill>
    </fill>
    <fill>
      <patternFill patternType="solid">
        <fgColor rgb="001D155C"/>
        <bgColor rgb="001D155C"/>
      </patternFill>
    </fill>
    <fill>
      <patternFill patternType="solid">
        <fgColor rgb="00E8204F"/>
        <bgColor rgb="00E8204F"/>
      </patternFill>
    </fill>
    <fill>
      <patternFill patternType="solid">
        <fgColor rgb="00F28976"/>
        <bgColor rgb="00F28976"/>
      </patternFill>
    </fill>
    <fill>
      <patternFill patternType="solid">
        <fgColor rgb="001E6DE7"/>
        <bgColor rgb="001E6DE7"/>
      </patternFill>
    </fill>
    <fill>
      <patternFill patternType="solid">
        <fgColor rgb="00BBA82D"/>
        <bgColor rgb="00BBA82D"/>
      </patternFill>
    </fill>
    <fill>
      <patternFill patternType="solid">
        <fgColor rgb="00173A5A"/>
        <bgColor rgb="00173A5A"/>
      </patternFill>
    </fill>
    <fill>
      <patternFill patternType="solid">
        <fgColor rgb="0023519B"/>
        <bgColor rgb="0023519B"/>
      </patternFill>
    </fill>
    <fill>
      <patternFill patternType="solid">
        <fgColor rgb="008909AD"/>
        <bgColor rgb="008909AD"/>
      </patternFill>
    </fill>
    <fill>
      <patternFill patternType="solid">
        <fgColor rgb="00E58950"/>
        <bgColor rgb="00E58950"/>
      </patternFill>
    </fill>
    <fill>
      <patternFill patternType="solid">
        <fgColor rgb="00B245D6"/>
        <bgColor rgb="00B245D6"/>
      </patternFill>
    </fill>
    <fill>
      <patternFill patternType="solid">
        <fgColor rgb="00E2B89A"/>
        <bgColor rgb="00E2B89A"/>
      </patternFill>
    </fill>
    <fill>
      <patternFill patternType="solid">
        <fgColor rgb="0037058C"/>
        <bgColor rgb="0037058C"/>
      </patternFill>
    </fill>
    <fill>
      <patternFill patternType="solid">
        <fgColor rgb="00AEE116"/>
        <bgColor rgb="00AEE116"/>
      </patternFill>
    </fill>
    <fill>
      <patternFill patternType="solid">
        <fgColor rgb="00C9B614"/>
        <bgColor rgb="00C9B614"/>
      </patternFill>
    </fill>
    <fill>
      <patternFill patternType="solid">
        <fgColor rgb="0006A615"/>
        <bgColor rgb="0006A615"/>
      </patternFill>
    </fill>
    <fill>
      <patternFill patternType="solid">
        <fgColor rgb="00A299F3"/>
        <bgColor rgb="00A299F3"/>
      </patternFill>
    </fill>
    <fill>
      <patternFill patternType="solid">
        <fgColor rgb="00599B7A"/>
        <bgColor rgb="00599B7A"/>
      </patternFill>
    </fill>
    <fill>
      <patternFill patternType="solid">
        <fgColor rgb="00C9C05A"/>
        <bgColor rgb="00C9C05A"/>
      </patternFill>
    </fill>
    <fill>
      <patternFill patternType="solid">
        <fgColor rgb="0094D40F"/>
        <bgColor rgb="0094D40F"/>
      </patternFill>
    </fill>
    <fill>
      <patternFill patternType="solid">
        <fgColor rgb="00A4BB2B"/>
        <bgColor rgb="00A4BB2B"/>
      </patternFill>
    </fill>
    <fill>
      <patternFill patternType="solid">
        <fgColor rgb="004FC051"/>
        <bgColor rgb="004FC051"/>
      </patternFill>
    </fill>
    <fill>
      <patternFill patternType="solid">
        <fgColor rgb="00FD56BE"/>
        <bgColor rgb="00FD56BE"/>
      </patternFill>
    </fill>
    <fill>
      <patternFill patternType="solid">
        <fgColor rgb="007BD580"/>
        <bgColor rgb="007BD580"/>
      </patternFill>
    </fill>
    <fill>
      <patternFill patternType="solid">
        <fgColor rgb="008C9612"/>
        <bgColor rgb="008C9612"/>
      </patternFill>
    </fill>
    <fill>
      <patternFill patternType="solid">
        <fgColor rgb="00C50450"/>
        <bgColor rgb="00C50450"/>
      </patternFill>
    </fill>
    <fill>
      <patternFill patternType="solid">
        <fgColor rgb="00AE0BED"/>
        <bgColor rgb="00AE0BED"/>
      </patternFill>
    </fill>
    <fill>
      <patternFill patternType="solid">
        <fgColor rgb="005411C2"/>
        <bgColor rgb="005411C2"/>
      </patternFill>
    </fill>
    <fill>
      <patternFill patternType="solid">
        <fgColor rgb="00F40232"/>
        <bgColor rgb="00F40232"/>
      </patternFill>
    </fill>
    <fill>
      <patternFill patternType="solid">
        <fgColor rgb="00F1BC9E"/>
        <bgColor rgb="00F1BC9E"/>
      </patternFill>
    </fill>
    <fill>
      <patternFill patternType="solid">
        <fgColor rgb="004DBAC7"/>
        <bgColor rgb="004DBAC7"/>
      </patternFill>
    </fill>
    <fill>
      <patternFill patternType="solid">
        <fgColor rgb="003DD815"/>
        <bgColor rgb="003DD815"/>
      </patternFill>
    </fill>
    <fill>
      <patternFill patternType="solid">
        <fgColor rgb="00A9D5C6"/>
        <bgColor rgb="00A9D5C6"/>
      </patternFill>
    </fill>
    <fill>
      <patternFill patternType="solid">
        <fgColor rgb="002E721B"/>
        <bgColor rgb="002E721B"/>
      </patternFill>
    </fill>
    <fill>
      <patternFill patternType="solid">
        <fgColor rgb="004D1C96"/>
        <bgColor rgb="004D1C96"/>
      </patternFill>
    </fill>
    <fill>
      <patternFill patternType="solid">
        <fgColor rgb="00E060F0"/>
        <bgColor rgb="00E060F0"/>
      </patternFill>
    </fill>
    <fill>
      <patternFill patternType="solid">
        <fgColor rgb="0070995E"/>
        <bgColor rgb="0070995E"/>
      </patternFill>
    </fill>
    <fill>
      <patternFill patternType="solid">
        <fgColor rgb="00B4BADA"/>
        <bgColor rgb="00B4BADA"/>
      </patternFill>
    </fill>
    <fill>
      <patternFill patternType="solid">
        <fgColor rgb="00C9A391"/>
        <bgColor rgb="00C9A391"/>
      </patternFill>
    </fill>
    <fill>
      <patternFill patternType="solid">
        <fgColor rgb="0037BC8A"/>
        <bgColor rgb="0037BC8A"/>
      </patternFill>
    </fill>
    <fill>
      <patternFill patternType="solid">
        <fgColor rgb="00BBC141"/>
        <bgColor rgb="00BBC141"/>
      </patternFill>
    </fill>
    <fill>
      <patternFill patternType="solid">
        <fgColor rgb="00D7381D"/>
        <bgColor rgb="00D7381D"/>
      </patternFill>
    </fill>
    <fill>
      <patternFill patternType="solid">
        <fgColor rgb="00AE85DE"/>
        <bgColor rgb="00AE85DE"/>
      </patternFill>
    </fill>
    <fill>
      <patternFill patternType="solid">
        <fgColor rgb="004F891C"/>
        <bgColor rgb="004F891C"/>
      </patternFill>
    </fill>
    <fill>
      <patternFill patternType="solid">
        <fgColor rgb="00D803DA"/>
        <bgColor rgb="00D803DA"/>
      </patternFill>
    </fill>
    <fill>
      <patternFill patternType="solid">
        <fgColor rgb="00F4885E"/>
        <bgColor rgb="00F4885E"/>
      </patternFill>
    </fill>
    <fill>
      <patternFill patternType="solid">
        <fgColor rgb="0030F37C"/>
        <bgColor rgb="0030F37C"/>
      </patternFill>
    </fill>
    <fill>
      <patternFill patternType="solid">
        <fgColor rgb="000D8AFD"/>
        <bgColor rgb="000D8AFD"/>
      </patternFill>
    </fill>
    <fill>
      <patternFill patternType="solid">
        <fgColor rgb="0096BBA1"/>
        <bgColor rgb="0096BBA1"/>
      </patternFill>
    </fill>
    <fill>
      <patternFill patternType="solid">
        <fgColor rgb="0082FD6E"/>
        <bgColor rgb="0082FD6E"/>
      </patternFill>
    </fill>
    <fill>
      <patternFill patternType="solid">
        <fgColor rgb="00DC64CF"/>
        <bgColor rgb="00DC64CF"/>
      </patternFill>
    </fill>
    <fill>
      <patternFill patternType="solid">
        <fgColor rgb="00EA2FAB"/>
        <bgColor rgb="00EA2FAB"/>
      </patternFill>
    </fill>
    <fill>
      <patternFill patternType="solid">
        <fgColor rgb="00D48786"/>
        <bgColor rgb="00D48786"/>
      </patternFill>
    </fill>
    <fill>
      <patternFill patternType="solid">
        <fgColor rgb="00286385"/>
        <bgColor rgb="00286385"/>
      </patternFill>
    </fill>
    <fill>
      <patternFill patternType="solid">
        <fgColor rgb="009A9CA1"/>
        <bgColor rgb="009A9CA1"/>
      </patternFill>
    </fill>
    <fill>
      <patternFill patternType="solid">
        <fgColor rgb="00E80973"/>
        <bgColor rgb="00E80973"/>
      </patternFill>
    </fill>
    <fill>
      <patternFill patternType="solid">
        <fgColor rgb="00EBD093"/>
        <bgColor rgb="00EBD093"/>
      </patternFill>
    </fill>
    <fill>
      <patternFill patternType="solid">
        <fgColor rgb="001ECF5D"/>
        <bgColor rgb="001ECF5D"/>
      </patternFill>
    </fill>
    <fill>
      <patternFill patternType="solid">
        <fgColor rgb="0022F0FD"/>
        <bgColor rgb="0022F0FD"/>
      </patternFill>
    </fill>
    <fill>
      <patternFill patternType="solid">
        <fgColor rgb="00F83CCC"/>
        <bgColor rgb="00F83CCC"/>
      </patternFill>
    </fill>
    <fill>
      <patternFill patternType="solid">
        <fgColor rgb="00C48597"/>
        <bgColor rgb="00C48597"/>
      </patternFill>
    </fill>
    <fill>
      <patternFill patternType="solid">
        <fgColor rgb="004BD93A"/>
        <bgColor rgb="004BD93A"/>
      </patternFill>
    </fill>
    <fill>
      <patternFill patternType="solid">
        <fgColor rgb="00524E9C"/>
        <bgColor rgb="00524E9C"/>
      </patternFill>
    </fill>
    <fill>
      <patternFill patternType="solid">
        <fgColor rgb="00792C69"/>
        <bgColor rgb="00792C69"/>
      </patternFill>
    </fill>
    <fill>
      <patternFill patternType="solid">
        <fgColor rgb="00894478"/>
        <bgColor rgb="00894478"/>
      </patternFill>
    </fill>
    <fill>
      <patternFill patternType="solid">
        <fgColor rgb="0074CF40"/>
        <bgColor rgb="0074CF40"/>
      </patternFill>
    </fill>
    <fill>
      <patternFill patternType="solid">
        <fgColor rgb="00B976B1"/>
        <bgColor rgb="00B976B1"/>
      </patternFill>
    </fill>
    <fill>
      <patternFill patternType="solid">
        <fgColor rgb="00608FC9"/>
        <bgColor rgb="00608FC9"/>
      </patternFill>
    </fill>
    <fill>
      <patternFill patternType="solid">
        <fgColor rgb="00034F8C"/>
        <bgColor rgb="00034F8C"/>
      </patternFill>
    </fill>
    <fill>
      <patternFill patternType="solid">
        <fgColor rgb="00B0B19D"/>
        <bgColor rgb="00B0B19D"/>
      </patternFill>
    </fill>
    <fill>
      <patternFill patternType="solid">
        <fgColor rgb="00702DA5"/>
        <bgColor rgb="00702DA5"/>
      </patternFill>
    </fill>
    <fill>
      <patternFill patternType="solid">
        <fgColor rgb="00ABC700"/>
        <bgColor rgb="00ABC700"/>
      </patternFill>
    </fill>
    <fill>
      <patternFill patternType="solid">
        <fgColor rgb="00903E53"/>
        <bgColor rgb="00903E53"/>
      </patternFill>
    </fill>
    <fill>
      <patternFill patternType="solid">
        <fgColor rgb="005111EF"/>
        <bgColor rgb="005111EF"/>
      </patternFill>
    </fill>
    <fill>
      <patternFill patternType="solid">
        <fgColor rgb="00D59539"/>
        <bgColor rgb="00D59539"/>
      </patternFill>
    </fill>
    <fill>
      <patternFill patternType="solid">
        <fgColor rgb="00DF257C"/>
        <bgColor rgb="00DF257C"/>
      </patternFill>
    </fill>
    <fill>
      <patternFill patternType="solid">
        <fgColor rgb="0052FD9B"/>
        <bgColor rgb="0052FD9B"/>
      </patternFill>
    </fill>
    <fill>
      <patternFill patternType="solid">
        <fgColor rgb="00076C27"/>
        <bgColor rgb="00076C27"/>
      </patternFill>
    </fill>
    <fill>
      <patternFill patternType="solid">
        <fgColor rgb="00D517F8"/>
        <bgColor rgb="00D517F8"/>
      </patternFill>
    </fill>
    <fill>
      <patternFill patternType="solid">
        <fgColor rgb="000D363F"/>
        <bgColor rgb="000D363F"/>
      </patternFill>
    </fill>
    <fill>
      <patternFill patternType="solid">
        <fgColor rgb="009DF2F6"/>
        <bgColor rgb="009DF2F6"/>
      </patternFill>
    </fill>
    <fill>
      <patternFill patternType="solid">
        <fgColor rgb="000FB0A5"/>
        <bgColor rgb="000FB0A5"/>
      </patternFill>
    </fill>
    <fill>
      <patternFill patternType="solid">
        <fgColor rgb="00F04045"/>
        <bgColor rgb="00F04045"/>
      </patternFill>
    </fill>
    <fill>
      <patternFill patternType="solid">
        <fgColor rgb="00333119"/>
        <bgColor rgb="00333119"/>
      </patternFill>
    </fill>
    <fill>
      <patternFill patternType="solid">
        <fgColor rgb="001E674C"/>
        <bgColor rgb="001E674C"/>
      </patternFill>
    </fill>
    <fill>
      <patternFill patternType="solid">
        <fgColor rgb="009698A9"/>
        <bgColor rgb="009698A9"/>
      </patternFill>
    </fill>
    <fill>
      <patternFill patternType="solid">
        <fgColor rgb="00305CC7"/>
        <bgColor rgb="00305CC7"/>
      </patternFill>
    </fill>
    <fill>
      <patternFill patternType="solid">
        <fgColor rgb="00C9845A"/>
        <bgColor rgb="00C9845A"/>
      </patternFill>
    </fill>
    <fill>
      <patternFill patternType="solid">
        <fgColor rgb="0069B9A2"/>
        <bgColor rgb="0069B9A2"/>
      </patternFill>
    </fill>
    <fill>
      <patternFill patternType="solid">
        <fgColor rgb="00779248"/>
        <bgColor rgb="00779248"/>
      </patternFill>
    </fill>
    <fill>
      <patternFill patternType="solid">
        <fgColor rgb="00D22D06"/>
        <bgColor rgb="00D22D06"/>
      </patternFill>
    </fill>
    <fill>
      <patternFill patternType="solid">
        <fgColor rgb="00F0A1F1"/>
        <bgColor rgb="00F0A1F1"/>
      </patternFill>
    </fill>
    <fill>
      <patternFill patternType="solid">
        <fgColor rgb="00790440"/>
        <bgColor rgb="00790440"/>
      </patternFill>
    </fill>
    <fill>
      <patternFill patternType="solid">
        <fgColor rgb="004673D9"/>
        <bgColor rgb="004673D9"/>
      </patternFill>
    </fill>
    <fill>
      <patternFill patternType="solid">
        <fgColor rgb="00A8C8FE"/>
        <bgColor rgb="00A8C8FE"/>
      </patternFill>
    </fill>
    <fill>
      <patternFill patternType="solid">
        <fgColor rgb="003AE7E2"/>
        <bgColor rgb="003AE7E2"/>
      </patternFill>
    </fill>
    <fill>
      <patternFill patternType="solid">
        <fgColor rgb="008A670B"/>
        <bgColor rgb="008A670B"/>
      </patternFill>
    </fill>
    <fill>
      <patternFill patternType="solid">
        <fgColor rgb="00EED3A9"/>
        <bgColor rgb="00EED3A9"/>
      </patternFill>
    </fill>
    <fill>
      <patternFill patternType="solid">
        <fgColor rgb="003A0178"/>
        <bgColor rgb="003A0178"/>
      </patternFill>
    </fill>
    <fill>
      <patternFill patternType="solid">
        <fgColor rgb="0010C87D"/>
        <bgColor rgb="0010C87D"/>
      </patternFill>
    </fill>
    <fill>
      <patternFill patternType="solid">
        <fgColor rgb="009C7812"/>
        <bgColor rgb="009C7812"/>
      </patternFill>
    </fill>
    <fill>
      <patternFill patternType="solid">
        <fgColor rgb="00F5944E"/>
        <bgColor rgb="00F5944E"/>
      </patternFill>
    </fill>
    <fill>
      <patternFill patternType="solid">
        <fgColor rgb="00D00FC9"/>
        <bgColor rgb="00D00FC9"/>
      </patternFill>
    </fill>
    <fill>
      <patternFill patternType="solid">
        <fgColor rgb="0072AF9E"/>
        <bgColor rgb="0072AF9E"/>
      </patternFill>
    </fill>
    <fill>
      <patternFill patternType="solid">
        <fgColor rgb="0041150D"/>
        <bgColor rgb="0041150D"/>
      </patternFill>
    </fill>
    <fill>
      <patternFill patternType="solid">
        <fgColor rgb="0095232E"/>
        <bgColor rgb="0095232E"/>
      </patternFill>
    </fill>
    <fill>
      <patternFill patternType="solid">
        <fgColor rgb="006FFDF4"/>
        <bgColor rgb="006FFDF4"/>
      </patternFill>
    </fill>
    <fill>
      <patternFill patternType="solid">
        <fgColor rgb="00B7AAA9"/>
        <bgColor rgb="00B7AAA9"/>
      </patternFill>
    </fill>
    <fill>
      <patternFill patternType="solid">
        <fgColor rgb="005D0690"/>
        <bgColor rgb="005D0690"/>
      </patternFill>
    </fill>
    <fill>
      <patternFill patternType="solid">
        <fgColor rgb="007199B9"/>
        <bgColor rgb="007199B9"/>
      </patternFill>
    </fill>
    <fill>
      <patternFill patternType="solid">
        <fgColor rgb="001E9978"/>
        <bgColor rgb="001E9978"/>
      </patternFill>
    </fill>
    <fill>
      <patternFill patternType="solid">
        <fgColor rgb="00944201"/>
        <bgColor rgb="00944201"/>
      </patternFill>
    </fill>
    <fill>
      <patternFill patternType="solid">
        <fgColor rgb="00E4396D"/>
        <bgColor rgb="00E4396D"/>
      </patternFill>
    </fill>
    <fill>
      <patternFill patternType="solid">
        <fgColor rgb="007EC9BF"/>
        <bgColor rgb="007EC9BF"/>
      </patternFill>
    </fill>
    <fill>
      <patternFill patternType="solid">
        <fgColor rgb="00970AA7"/>
        <bgColor rgb="00970AA7"/>
      </patternFill>
    </fill>
    <fill>
      <patternFill patternType="solid">
        <fgColor rgb="006361F9"/>
        <bgColor rgb="006361F9"/>
      </patternFill>
    </fill>
    <fill>
      <patternFill patternType="solid">
        <fgColor rgb="00BA36A9"/>
        <bgColor rgb="00BA36A9"/>
      </patternFill>
    </fill>
    <fill>
      <patternFill patternType="solid">
        <fgColor rgb="00859652"/>
        <bgColor rgb="00859652"/>
      </patternFill>
    </fill>
    <fill>
      <patternFill patternType="solid">
        <fgColor rgb="0096A6BC"/>
        <bgColor rgb="0096A6BC"/>
      </patternFill>
    </fill>
    <fill>
      <patternFill patternType="solid">
        <fgColor rgb="002A4D5C"/>
        <bgColor rgb="002A4D5C"/>
      </patternFill>
    </fill>
    <fill>
      <patternFill patternType="solid">
        <fgColor rgb="008C216D"/>
        <bgColor rgb="008C216D"/>
      </patternFill>
    </fill>
    <fill>
      <patternFill patternType="solid">
        <fgColor rgb="009CDC9E"/>
        <bgColor rgb="009CDC9E"/>
      </patternFill>
    </fill>
    <fill>
      <patternFill patternType="solid">
        <fgColor rgb="009752DF"/>
        <bgColor rgb="009752DF"/>
      </patternFill>
    </fill>
    <fill>
      <patternFill patternType="solid">
        <fgColor rgb="00E716D4"/>
        <bgColor rgb="00E716D4"/>
      </patternFill>
    </fill>
    <fill>
      <patternFill patternType="solid">
        <fgColor rgb="00C4FC03"/>
        <bgColor rgb="00C4FC03"/>
      </patternFill>
    </fill>
    <fill>
      <patternFill patternType="solid">
        <fgColor rgb="0011DEE6"/>
        <bgColor rgb="0011DEE6"/>
      </patternFill>
    </fill>
    <fill>
      <patternFill patternType="solid">
        <fgColor rgb="007199E9"/>
        <bgColor rgb="007199E9"/>
      </patternFill>
    </fill>
    <fill>
      <patternFill patternType="solid">
        <fgColor rgb="007694D9"/>
        <bgColor rgb="007694D9"/>
      </patternFill>
    </fill>
    <fill>
      <patternFill patternType="solid">
        <fgColor rgb="00CF72C4"/>
        <bgColor rgb="00CF72C4"/>
      </patternFill>
    </fill>
    <fill>
      <patternFill patternType="solid">
        <fgColor rgb="00F8128C"/>
        <bgColor rgb="00F8128C"/>
      </patternFill>
    </fill>
    <fill>
      <patternFill patternType="solid">
        <fgColor rgb="00871467"/>
        <bgColor rgb="00871467"/>
      </patternFill>
    </fill>
    <fill>
      <patternFill patternType="solid">
        <fgColor rgb="0050C3F2"/>
        <bgColor rgb="0050C3F2"/>
      </patternFill>
    </fill>
    <fill>
      <patternFill patternType="solid">
        <fgColor rgb="001E44AD"/>
        <bgColor rgb="001E44AD"/>
      </patternFill>
    </fill>
    <fill>
      <patternFill patternType="solid">
        <fgColor rgb="004204D1"/>
        <bgColor rgb="004204D1"/>
      </patternFill>
    </fill>
    <fill>
      <patternFill patternType="solid">
        <fgColor rgb="0056AD49"/>
        <bgColor rgb="0056AD49"/>
      </patternFill>
    </fill>
    <fill>
      <patternFill patternType="solid">
        <fgColor rgb="0056F231"/>
        <bgColor rgb="0056F231"/>
      </patternFill>
    </fill>
    <fill>
      <patternFill patternType="solid">
        <fgColor rgb="00553742"/>
        <bgColor rgb="00553742"/>
      </patternFill>
    </fill>
    <fill>
      <patternFill patternType="solid">
        <fgColor rgb="00D79F40"/>
        <bgColor rgb="00D79F40"/>
      </patternFill>
    </fill>
    <fill>
      <patternFill patternType="solid">
        <fgColor rgb="0052C069"/>
        <bgColor rgb="0052C069"/>
      </patternFill>
    </fill>
    <fill>
      <patternFill patternType="solid">
        <fgColor rgb="00A35784"/>
        <bgColor rgb="00A35784"/>
      </patternFill>
    </fill>
    <fill>
      <patternFill patternType="solid">
        <fgColor rgb="00C6389E"/>
        <bgColor rgb="00C6389E"/>
      </patternFill>
    </fill>
    <fill>
      <patternFill patternType="solid">
        <fgColor rgb="00A6F448"/>
        <bgColor rgb="00A6F448"/>
      </patternFill>
    </fill>
    <fill>
      <patternFill patternType="solid">
        <fgColor rgb="00731628"/>
        <bgColor rgb="00731628"/>
      </patternFill>
    </fill>
    <fill>
      <patternFill patternType="solid">
        <fgColor rgb="0014AFEB"/>
        <bgColor rgb="0014AFEB"/>
      </patternFill>
    </fill>
    <fill>
      <patternFill patternType="solid">
        <fgColor rgb="0095D019"/>
        <bgColor rgb="0095D019"/>
      </patternFill>
    </fill>
    <fill>
      <patternFill patternType="solid">
        <fgColor rgb="0035045A"/>
        <bgColor rgb="0035045A"/>
      </patternFill>
    </fill>
    <fill>
      <patternFill patternType="solid">
        <fgColor rgb="000CB465"/>
        <bgColor rgb="000CB465"/>
      </patternFill>
    </fill>
    <fill>
      <patternFill patternType="solid">
        <fgColor rgb="009674E7"/>
        <bgColor rgb="009674E7"/>
      </patternFill>
    </fill>
    <fill>
      <patternFill patternType="solid">
        <fgColor rgb="0040456B"/>
        <bgColor rgb="0040456B"/>
      </patternFill>
    </fill>
    <fill>
      <patternFill patternType="solid">
        <fgColor rgb="0082B8E8"/>
        <bgColor rgb="0082B8E8"/>
      </patternFill>
    </fill>
    <fill>
      <patternFill patternType="solid">
        <fgColor rgb="00817658"/>
        <bgColor rgb="00817658"/>
      </patternFill>
    </fill>
    <fill>
      <patternFill patternType="solid">
        <fgColor rgb="00CCA678"/>
        <bgColor rgb="00CCA678"/>
      </patternFill>
    </fill>
    <fill>
      <patternFill patternType="solid">
        <fgColor rgb="00A30AD4"/>
        <bgColor rgb="00A30AD4"/>
      </patternFill>
    </fill>
    <fill>
      <patternFill patternType="solid">
        <fgColor rgb="00187360"/>
        <bgColor rgb="00187360"/>
      </patternFill>
    </fill>
    <fill>
      <patternFill patternType="solid">
        <fgColor rgb="00D02C7A"/>
        <bgColor rgb="00D02C7A"/>
      </patternFill>
    </fill>
    <fill>
      <patternFill patternType="solid">
        <fgColor rgb="006A1AE7"/>
        <bgColor rgb="006A1AE7"/>
      </patternFill>
    </fill>
    <fill>
      <patternFill patternType="solid">
        <fgColor rgb="000A338B"/>
        <bgColor rgb="000A338B"/>
      </patternFill>
    </fill>
    <fill>
      <patternFill patternType="solid">
        <fgColor rgb="00D54F5B"/>
        <bgColor rgb="00D54F5B"/>
      </patternFill>
    </fill>
    <fill>
      <patternFill patternType="solid">
        <fgColor rgb="00F18229"/>
        <bgColor rgb="00F18229"/>
      </patternFill>
    </fill>
    <fill>
      <patternFill patternType="solid">
        <fgColor rgb="00D3055F"/>
        <bgColor rgb="00D3055F"/>
      </patternFill>
    </fill>
    <fill>
      <patternFill patternType="solid">
        <fgColor rgb="00EAF236"/>
        <bgColor rgb="00EAF236"/>
      </patternFill>
    </fill>
    <fill>
      <patternFill patternType="solid">
        <fgColor rgb="00957F8B"/>
        <bgColor rgb="00957F8B"/>
      </patternFill>
    </fill>
    <fill>
      <patternFill patternType="solid">
        <fgColor rgb="001F0416"/>
        <bgColor rgb="001F0416"/>
      </patternFill>
    </fill>
    <fill>
      <patternFill patternType="solid">
        <fgColor rgb="00F0FD01"/>
        <bgColor rgb="00F0FD01"/>
      </patternFill>
    </fill>
    <fill>
      <patternFill patternType="solid">
        <fgColor rgb="002468EE"/>
        <bgColor rgb="002468EE"/>
      </patternFill>
    </fill>
    <fill>
      <patternFill patternType="solid">
        <fgColor rgb="00784696"/>
        <bgColor rgb="00784696"/>
      </patternFill>
    </fill>
    <fill>
      <patternFill patternType="solid">
        <fgColor rgb="00EAD2B6"/>
        <bgColor rgb="00EAD2B6"/>
      </patternFill>
    </fill>
    <fill>
      <patternFill patternType="solid">
        <fgColor rgb="006BF213"/>
        <bgColor rgb="006BF213"/>
      </patternFill>
    </fill>
    <fill>
      <patternFill patternType="solid">
        <fgColor rgb="009EC006"/>
        <bgColor rgb="009EC006"/>
      </patternFill>
    </fill>
    <fill>
      <patternFill patternType="solid">
        <fgColor rgb="00382B59"/>
        <bgColor rgb="00382B59"/>
      </patternFill>
    </fill>
    <fill>
      <patternFill patternType="solid">
        <fgColor rgb="00956788"/>
        <bgColor rgb="00956788"/>
      </patternFill>
    </fill>
    <fill>
      <patternFill patternType="solid">
        <fgColor rgb="00AB626F"/>
        <bgColor rgb="00AB626F"/>
      </patternFill>
    </fill>
    <fill>
      <patternFill patternType="solid">
        <fgColor rgb="006526BC"/>
        <bgColor rgb="006526BC"/>
      </patternFill>
    </fill>
    <fill>
      <patternFill patternType="solid">
        <fgColor rgb="003F6536"/>
        <bgColor rgb="003F6536"/>
      </patternFill>
    </fill>
    <fill>
      <patternFill patternType="solid">
        <fgColor rgb="00DFA215"/>
        <bgColor rgb="00DFA215"/>
      </patternFill>
    </fill>
    <fill>
      <patternFill patternType="solid">
        <fgColor rgb="009A3074"/>
        <bgColor rgb="009A3074"/>
      </patternFill>
    </fill>
    <fill>
      <patternFill patternType="solid">
        <fgColor rgb="00C48DEB"/>
        <bgColor rgb="00C48DEB"/>
      </patternFill>
    </fill>
    <fill>
      <patternFill patternType="solid">
        <fgColor rgb="009A9E20"/>
        <bgColor rgb="009A9E20"/>
      </patternFill>
    </fill>
    <fill>
      <patternFill patternType="solid">
        <fgColor rgb="005AFE6E"/>
        <bgColor rgb="005AFE6E"/>
      </patternFill>
    </fill>
    <fill>
      <patternFill patternType="solid">
        <fgColor rgb="002F5E5F"/>
        <bgColor rgb="002F5E5F"/>
      </patternFill>
    </fill>
    <fill>
      <patternFill patternType="solid">
        <fgColor rgb="0073504C"/>
        <bgColor rgb="0073504C"/>
      </patternFill>
    </fill>
    <fill>
      <patternFill patternType="solid">
        <fgColor rgb="00B2F62F"/>
        <bgColor rgb="00B2F62F"/>
      </patternFill>
    </fill>
    <fill>
      <patternFill patternType="solid">
        <fgColor rgb="00A940B7"/>
        <bgColor rgb="00A940B7"/>
      </patternFill>
    </fill>
    <fill>
      <patternFill patternType="solid">
        <fgColor rgb="00CD2B9F"/>
        <bgColor rgb="00CD2B9F"/>
      </patternFill>
    </fill>
    <fill>
      <patternFill patternType="solid">
        <fgColor rgb="005CE0FC"/>
        <bgColor rgb="005CE0FC"/>
      </patternFill>
    </fill>
    <fill>
      <patternFill patternType="solid">
        <fgColor rgb="008D9B77"/>
        <bgColor rgb="008D9B77"/>
      </patternFill>
    </fill>
    <fill>
      <patternFill patternType="solid">
        <fgColor rgb="007E5455"/>
        <bgColor rgb="007E5455"/>
      </patternFill>
    </fill>
    <fill>
      <patternFill patternType="solid">
        <fgColor rgb="00528C86"/>
        <bgColor rgb="00528C86"/>
      </patternFill>
    </fill>
    <fill>
      <patternFill patternType="solid">
        <fgColor rgb="0032A7B9"/>
        <bgColor rgb="0032A7B9"/>
      </patternFill>
    </fill>
    <fill>
      <patternFill patternType="solid">
        <fgColor rgb="00403317"/>
        <bgColor rgb="00403317"/>
      </patternFill>
    </fill>
    <fill>
      <patternFill patternType="solid">
        <fgColor rgb="005C7446"/>
        <bgColor rgb="005C7446"/>
      </patternFill>
    </fill>
    <fill>
      <patternFill patternType="solid">
        <fgColor rgb="001174C2"/>
        <bgColor rgb="001174C2"/>
      </patternFill>
    </fill>
    <fill>
      <patternFill patternType="solid">
        <fgColor rgb="00B31095"/>
        <bgColor rgb="00B31095"/>
      </patternFill>
    </fill>
    <fill>
      <patternFill patternType="solid">
        <fgColor rgb="00F0EEB1"/>
        <bgColor rgb="00F0EEB1"/>
      </patternFill>
    </fill>
    <fill>
      <patternFill patternType="solid">
        <fgColor rgb="00946DB7"/>
        <bgColor rgb="00946DB7"/>
      </patternFill>
    </fill>
    <fill>
      <patternFill patternType="solid">
        <fgColor rgb="00550BFD"/>
        <bgColor rgb="00550BFD"/>
      </patternFill>
    </fill>
    <fill>
      <patternFill patternType="solid">
        <fgColor rgb="002F2310"/>
        <bgColor rgb="002F2310"/>
      </patternFill>
    </fill>
    <fill>
      <patternFill patternType="solid">
        <fgColor rgb="003712BF"/>
        <bgColor rgb="003712BF"/>
      </patternFill>
    </fill>
    <fill>
      <patternFill patternType="solid">
        <fgColor rgb="00FD00FE"/>
        <bgColor rgb="00FD00FE"/>
      </patternFill>
    </fill>
    <fill>
      <patternFill patternType="solid">
        <fgColor rgb="00DF8A0E"/>
        <bgColor rgb="00DF8A0E"/>
      </patternFill>
    </fill>
    <fill>
      <patternFill patternType="solid">
        <fgColor rgb="006AE7EB"/>
        <bgColor rgb="006AE7EB"/>
      </patternFill>
    </fill>
    <fill>
      <patternFill patternType="solid">
        <fgColor rgb="00FDAEF8"/>
        <bgColor rgb="00FDAEF8"/>
      </patternFill>
    </fill>
    <fill>
      <patternFill patternType="solid">
        <fgColor rgb="000455CC"/>
        <bgColor rgb="000455CC"/>
      </patternFill>
    </fill>
    <fill>
      <patternFill patternType="solid">
        <fgColor rgb="00034B95"/>
        <bgColor rgb="00034B95"/>
      </patternFill>
    </fill>
    <fill>
      <patternFill patternType="solid">
        <fgColor rgb="0035FCD6"/>
        <bgColor rgb="0035FCD6"/>
      </patternFill>
    </fill>
    <fill>
      <patternFill patternType="solid">
        <fgColor rgb="005DCF36"/>
        <bgColor rgb="005DCF36"/>
      </patternFill>
    </fill>
    <fill>
      <patternFill patternType="solid">
        <fgColor rgb="003204DC"/>
        <bgColor rgb="003204DC"/>
      </patternFill>
    </fill>
    <fill>
      <patternFill patternType="solid">
        <fgColor rgb="0012867B"/>
        <bgColor rgb="0012867B"/>
      </patternFill>
    </fill>
    <fill>
      <patternFill patternType="solid">
        <fgColor rgb="00636F55"/>
        <bgColor rgb="00636F55"/>
      </patternFill>
    </fill>
    <fill>
      <patternFill patternType="solid">
        <fgColor rgb="0041E8B4"/>
        <bgColor rgb="0041E8B4"/>
      </patternFill>
    </fill>
    <fill>
      <patternFill patternType="solid">
        <fgColor rgb="00A796DF"/>
        <bgColor rgb="00A796DF"/>
      </patternFill>
    </fill>
    <fill>
      <patternFill patternType="solid">
        <fgColor rgb="0003E16C"/>
        <bgColor rgb="0003E16C"/>
      </patternFill>
    </fill>
    <fill>
      <patternFill patternType="solid">
        <fgColor rgb="00DB08EB"/>
        <bgColor rgb="00DB08EB"/>
      </patternFill>
    </fill>
    <fill>
      <patternFill patternType="solid">
        <fgColor rgb="00B0916C"/>
        <bgColor rgb="00B0916C"/>
      </patternFill>
    </fill>
    <fill>
      <patternFill patternType="solid">
        <fgColor rgb="0021C83F"/>
        <bgColor rgb="0021C83F"/>
      </patternFill>
    </fill>
    <fill>
      <patternFill patternType="solid">
        <fgColor rgb="001598B1"/>
        <bgColor rgb="001598B1"/>
      </patternFill>
    </fill>
    <fill>
      <patternFill patternType="solid">
        <fgColor rgb="0082BCD7"/>
        <bgColor rgb="0082BCD7"/>
      </patternFill>
    </fill>
    <fill>
      <patternFill patternType="solid">
        <fgColor rgb="00917AB5"/>
        <bgColor rgb="00917AB5"/>
      </patternFill>
    </fill>
    <fill>
      <patternFill patternType="solid">
        <fgColor rgb="002ACF97"/>
        <bgColor rgb="002ACF97"/>
      </patternFill>
    </fill>
    <fill>
      <patternFill patternType="solid">
        <fgColor rgb="00FA3010"/>
        <bgColor rgb="00FA3010"/>
      </patternFill>
    </fill>
    <fill>
      <patternFill patternType="solid">
        <fgColor rgb="003A5C98"/>
        <bgColor rgb="003A5C98"/>
      </patternFill>
    </fill>
    <fill>
      <patternFill patternType="solid">
        <fgColor rgb="0069D2E8"/>
        <bgColor rgb="0069D2E8"/>
      </patternFill>
    </fill>
    <fill>
      <patternFill patternType="solid">
        <fgColor rgb="00CA6B25"/>
        <bgColor rgb="00CA6B25"/>
      </patternFill>
    </fill>
    <fill>
      <patternFill patternType="solid">
        <fgColor rgb="004A911E"/>
        <bgColor rgb="004A911E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781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1" fillId="4" borderId="1" pivotButton="0" quotePrefix="0" xfId="0"/>
    <xf numFmtId="0" fontId="2" fillId="5" borderId="1" pivotButton="0" quotePrefix="0" xfId="0"/>
    <xf numFmtId="0" fontId="1" fillId="6" borderId="1" pivotButton="0" quotePrefix="0" xfId="0"/>
    <xf numFmtId="0" fontId="2" fillId="7" borderId="1" pivotButton="0" quotePrefix="0" xfId="0"/>
    <xf numFmtId="0" fontId="1" fillId="8" borderId="1" pivotButton="0" quotePrefix="0" xfId="0"/>
    <xf numFmtId="0" fontId="2" fillId="9" borderId="1" pivotButton="0" quotePrefix="0" xfId="0"/>
    <xf numFmtId="0" fontId="1" fillId="10" borderId="1" pivotButton="0" quotePrefix="0" xfId="0"/>
    <xf numFmtId="0" fontId="2" fillId="11" borderId="1" pivotButton="0" quotePrefix="0" xfId="0"/>
    <xf numFmtId="0" fontId="1" fillId="12" borderId="0" applyAlignment="1" pivotButton="0" quotePrefix="0" xfId="0">
      <alignment vertical="bottom"/>
    </xf>
    <xf numFmtId="0" fontId="2" fillId="13" borderId="0" pivotButton="0" quotePrefix="0" xfId="0"/>
    <xf numFmtId="0" fontId="5" fillId="14" borderId="0" pivotButton="0" quotePrefix="0" xfId="0"/>
    <xf numFmtId="0" fontId="5" fillId="15" borderId="0" pivotButton="0" quotePrefix="0" xfId="0"/>
    <xf numFmtId="164" fontId="4" fillId="0" borderId="0" applyAlignment="1" pivotButton="0" quotePrefix="0" xfId="0">
      <alignment horizontal="left"/>
    </xf>
    <xf numFmtId="0" fontId="6" fillId="0" borderId="0" pivotButton="0" quotePrefix="0" xfId="0"/>
    <xf numFmtId="164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7" fillId="0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3" fillId="19" borderId="0" pivotButton="0" quotePrefix="0" xfId="0"/>
    <xf numFmtId="0" fontId="3" fillId="20" borderId="0" pivotButton="0" quotePrefix="0" xfId="0"/>
    <xf numFmtId="0" fontId="8" fillId="14" borderId="0" pivotButton="0" quotePrefix="0" xfId="0"/>
    <xf numFmtId="0" fontId="2" fillId="21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10" fillId="22" borderId="1" pivotButton="0" quotePrefix="0" xfId="0"/>
    <xf numFmtId="0" fontId="10" fillId="23" borderId="1" pivotButton="0" quotePrefix="0" xfId="0"/>
    <xf numFmtId="0" fontId="10" fillId="24" borderId="1" pivotButton="0" quotePrefix="0" xfId="0"/>
    <xf numFmtId="0" fontId="10" fillId="25" borderId="1" pivotButton="0" quotePrefix="0" xfId="0"/>
    <xf numFmtId="0" fontId="10" fillId="27" borderId="1" pivotButton="0" quotePrefix="0" xfId="0"/>
    <xf numFmtId="0" fontId="10" fillId="26" borderId="0" pivotButton="0" quotePrefix="0" xfId="0"/>
    <xf numFmtId="0" fontId="10" fillId="28" borderId="0" pivotButton="0" quotePrefix="0" xfId="0"/>
    <xf numFmtId="0" fontId="11" fillId="0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164" fontId="0" fillId="0" borderId="0" pivotButton="0" quotePrefix="0" xfId="0"/>
    <xf numFmtId="0" fontId="10" fillId="29" borderId="1" pivotButton="0" quotePrefix="0" xfId="0"/>
    <xf numFmtId="0" fontId="10" fillId="30" borderId="1" pivotButton="0" quotePrefix="0" xfId="0"/>
    <xf numFmtId="0" fontId="10" fillId="31" borderId="1" pivotButton="0" quotePrefix="0" xfId="0"/>
    <xf numFmtId="0" fontId="10" fillId="32" borderId="1" pivotButton="0" quotePrefix="0" xfId="0"/>
    <xf numFmtId="0" fontId="10" fillId="34" borderId="1" pivotButton="0" quotePrefix="0" xfId="0"/>
    <xf numFmtId="0" fontId="10" fillId="33" borderId="0" pivotButton="0" quotePrefix="0" xfId="0"/>
    <xf numFmtId="0" fontId="10" fillId="35" borderId="1" pivotButton="0" quotePrefix="0" xfId="0"/>
    <xf numFmtId="0" fontId="10" fillId="36" borderId="1" pivotButton="0" quotePrefix="0" xfId="0"/>
    <xf numFmtId="0" fontId="10" fillId="37" borderId="1" pivotButton="0" quotePrefix="0" xfId="0"/>
    <xf numFmtId="0" fontId="10" fillId="38" borderId="1" pivotButton="0" quotePrefix="0" xfId="0"/>
    <xf numFmtId="0" fontId="10" fillId="40" borderId="1" pivotButton="0" quotePrefix="0" xfId="0"/>
    <xf numFmtId="0" fontId="10" fillId="39" borderId="0" pivotButton="0" quotePrefix="0" xfId="0"/>
    <xf numFmtId="0" fontId="10" fillId="41" borderId="1" pivotButton="0" quotePrefix="0" xfId="0"/>
    <xf numFmtId="0" fontId="10" fillId="42" borderId="1" pivotButton="0" quotePrefix="0" xfId="0"/>
    <xf numFmtId="0" fontId="10" fillId="43" borderId="1" pivotButton="0" quotePrefix="0" xfId="0"/>
    <xf numFmtId="0" fontId="10" fillId="44" borderId="1" pivotButton="0" quotePrefix="0" xfId="0"/>
    <xf numFmtId="0" fontId="10" fillId="46" borderId="1" pivotButton="0" quotePrefix="0" xfId="0"/>
    <xf numFmtId="0" fontId="10" fillId="45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12" fillId="47" borderId="0" pivotButton="0" quotePrefix="0" xfId="0"/>
    <xf numFmtId="0" fontId="10" fillId="48" borderId="1" pivotButton="0" quotePrefix="0" xfId="0"/>
    <xf numFmtId="0" fontId="10" fillId="49" borderId="1" pivotButton="0" quotePrefix="0" xfId="0"/>
    <xf numFmtId="0" fontId="10" fillId="50" borderId="1" pivotButton="0" quotePrefix="0" xfId="0"/>
    <xf numFmtId="0" fontId="10" fillId="51" borderId="1" pivotButton="0" quotePrefix="0" xfId="0"/>
    <xf numFmtId="0" fontId="10" fillId="53" borderId="1" pivotButton="0" quotePrefix="0" xfId="0"/>
    <xf numFmtId="0" fontId="10" fillId="52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10" fillId="54" borderId="1" pivotButton="0" quotePrefix="0" xfId="0"/>
    <xf numFmtId="0" fontId="10" fillId="55" borderId="1" pivotButton="0" quotePrefix="0" xfId="0"/>
    <xf numFmtId="0" fontId="10" fillId="56" borderId="1" pivotButton="0" quotePrefix="0" xfId="0"/>
    <xf numFmtId="0" fontId="10" fillId="57" borderId="1" pivotButton="0" quotePrefix="0" xfId="0"/>
    <xf numFmtId="0" fontId="10" fillId="59" borderId="1" pivotButton="0" quotePrefix="0" xfId="0"/>
    <xf numFmtId="0" fontId="10" fillId="58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10" fillId="60" borderId="1" pivotButton="0" quotePrefix="0" xfId="0"/>
    <xf numFmtId="0" fontId="10" fillId="61" borderId="1" pivotButton="0" quotePrefix="0" xfId="0"/>
    <xf numFmtId="0" fontId="10" fillId="62" borderId="1" pivotButton="0" quotePrefix="0" xfId="0"/>
    <xf numFmtId="0" fontId="10" fillId="63" borderId="1" pivotButton="0" quotePrefix="0" xfId="0"/>
    <xf numFmtId="0" fontId="10" fillId="65" borderId="1" pivotButton="0" quotePrefix="0" xfId="0"/>
    <xf numFmtId="0" fontId="10" fillId="64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10" fillId="66" borderId="1" pivotButton="0" quotePrefix="0" xfId="0"/>
    <xf numFmtId="0" fontId="10" fillId="67" borderId="1" pivotButton="0" quotePrefix="0" xfId="0"/>
    <xf numFmtId="0" fontId="10" fillId="68" borderId="1" pivotButton="0" quotePrefix="0" xfId="0"/>
    <xf numFmtId="0" fontId="10" fillId="69" borderId="1" pivotButton="0" quotePrefix="0" xfId="0"/>
    <xf numFmtId="0" fontId="10" fillId="71" borderId="1" pivotButton="0" quotePrefix="0" xfId="0"/>
    <xf numFmtId="0" fontId="10" fillId="70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10" fillId="72" borderId="1" pivotButton="0" quotePrefix="0" xfId="0"/>
    <xf numFmtId="0" fontId="10" fillId="73" borderId="1" pivotButton="0" quotePrefix="0" xfId="0"/>
    <xf numFmtId="0" fontId="10" fillId="74" borderId="1" pivotButton="0" quotePrefix="0" xfId="0"/>
    <xf numFmtId="0" fontId="10" fillId="75" borderId="1" pivotButton="0" quotePrefix="0" xfId="0"/>
    <xf numFmtId="0" fontId="10" fillId="77" borderId="1" pivotButton="0" quotePrefix="0" xfId="0"/>
    <xf numFmtId="0" fontId="10" fillId="76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10" fillId="78" borderId="1" pivotButton="0" quotePrefix="0" xfId="0"/>
    <xf numFmtId="0" fontId="10" fillId="79" borderId="1" pivotButton="0" quotePrefix="0" xfId="0"/>
    <xf numFmtId="0" fontId="10" fillId="80" borderId="1" pivotButton="0" quotePrefix="0" xfId="0"/>
    <xf numFmtId="0" fontId="10" fillId="81" borderId="1" pivotButton="0" quotePrefix="0" xfId="0"/>
    <xf numFmtId="0" fontId="10" fillId="83" borderId="1" pivotButton="0" quotePrefix="0" xfId="0"/>
    <xf numFmtId="0" fontId="10" fillId="82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10" fillId="84" borderId="1" pivotButton="0" quotePrefix="0" xfId="0"/>
    <xf numFmtId="0" fontId="10" fillId="85" borderId="1" pivotButton="0" quotePrefix="0" xfId="0"/>
    <xf numFmtId="0" fontId="10" fillId="86" borderId="1" pivotButton="0" quotePrefix="0" xfId="0"/>
    <xf numFmtId="0" fontId="10" fillId="87" borderId="1" pivotButton="0" quotePrefix="0" xfId="0"/>
    <xf numFmtId="0" fontId="10" fillId="89" borderId="1" pivotButton="0" quotePrefix="0" xfId="0"/>
    <xf numFmtId="0" fontId="10" fillId="88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10" fillId="90" borderId="1" pivotButton="0" quotePrefix="0" xfId="0"/>
    <xf numFmtId="0" fontId="10" fillId="91" borderId="1" pivotButton="0" quotePrefix="0" xfId="0"/>
    <xf numFmtId="0" fontId="10" fillId="92" borderId="1" pivotButton="0" quotePrefix="0" xfId="0"/>
    <xf numFmtId="0" fontId="10" fillId="93" borderId="1" pivotButton="0" quotePrefix="0" xfId="0"/>
    <xf numFmtId="0" fontId="10" fillId="95" borderId="1" pivotButton="0" quotePrefix="0" xfId="0"/>
    <xf numFmtId="0" fontId="10" fillId="94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10" fillId="96" borderId="1" pivotButton="0" quotePrefix="0" xfId="0"/>
    <xf numFmtId="0" fontId="10" fillId="97" borderId="1" pivotButton="0" quotePrefix="0" xfId="0"/>
    <xf numFmtId="0" fontId="10" fillId="98" borderId="1" pivotButton="0" quotePrefix="0" xfId="0"/>
    <xf numFmtId="0" fontId="10" fillId="99" borderId="1" pivotButton="0" quotePrefix="0" xfId="0"/>
    <xf numFmtId="0" fontId="10" fillId="101" borderId="1" pivotButton="0" quotePrefix="0" xfId="0"/>
    <xf numFmtId="0" fontId="10" fillId="100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10" fillId="102" borderId="1" pivotButton="0" quotePrefix="0" xfId="0"/>
    <xf numFmtId="0" fontId="10" fillId="103" borderId="1" pivotButton="0" quotePrefix="0" xfId="0"/>
    <xf numFmtId="0" fontId="10" fillId="104" borderId="1" pivotButton="0" quotePrefix="0" xfId="0"/>
    <xf numFmtId="0" fontId="10" fillId="105" borderId="1" pivotButton="0" quotePrefix="0" xfId="0"/>
    <xf numFmtId="0" fontId="10" fillId="107" borderId="1" pivotButton="0" quotePrefix="0" xfId="0"/>
    <xf numFmtId="0" fontId="10" fillId="106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10" fillId="108" borderId="1" pivotButton="0" quotePrefix="0" xfId="0"/>
    <xf numFmtId="0" fontId="10" fillId="109" borderId="1" pivotButton="0" quotePrefix="0" xfId="0"/>
    <xf numFmtId="0" fontId="10" fillId="110" borderId="1" pivotButton="0" quotePrefix="0" xfId="0"/>
    <xf numFmtId="0" fontId="10" fillId="111" borderId="1" pivotButton="0" quotePrefix="0" xfId="0"/>
    <xf numFmtId="0" fontId="10" fillId="113" borderId="1" pivotButton="0" quotePrefix="0" xfId="0"/>
    <xf numFmtId="0" fontId="10" fillId="112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10" fillId="114" borderId="1" pivotButton="0" quotePrefix="0" xfId="0"/>
    <xf numFmtId="0" fontId="10" fillId="115" borderId="1" pivotButton="0" quotePrefix="0" xfId="0"/>
    <xf numFmtId="0" fontId="10" fillId="116" borderId="1" pivotButton="0" quotePrefix="0" xfId="0"/>
    <xf numFmtId="0" fontId="10" fillId="117" borderId="1" pivotButton="0" quotePrefix="0" xfId="0"/>
    <xf numFmtId="0" fontId="10" fillId="119" borderId="1" pivotButton="0" quotePrefix="0" xfId="0"/>
    <xf numFmtId="0" fontId="10" fillId="118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10" fillId="120" borderId="1" pivotButton="0" quotePrefix="0" xfId="0"/>
    <xf numFmtId="0" fontId="10" fillId="121" borderId="1" pivotButton="0" quotePrefix="0" xfId="0"/>
    <xf numFmtId="0" fontId="10" fillId="122" borderId="1" pivotButton="0" quotePrefix="0" xfId="0"/>
    <xf numFmtId="0" fontId="10" fillId="123" borderId="1" pivotButton="0" quotePrefix="0" xfId="0"/>
    <xf numFmtId="0" fontId="10" fillId="125" borderId="1" pivotButton="0" quotePrefix="0" xfId="0"/>
    <xf numFmtId="0" fontId="10" fillId="124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10" fillId="126" borderId="1" pivotButton="0" quotePrefix="0" xfId="0"/>
    <xf numFmtId="0" fontId="10" fillId="127" borderId="1" pivotButton="0" quotePrefix="0" xfId="0"/>
    <xf numFmtId="0" fontId="10" fillId="128" borderId="1" pivotButton="0" quotePrefix="0" xfId="0"/>
    <xf numFmtId="0" fontId="10" fillId="129" borderId="1" pivotButton="0" quotePrefix="0" xfId="0"/>
    <xf numFmtId="0" fontId="10" fillId="131" borderId="1" pivotButton="0" quotePrefix="0" xfId="0"/>
    <xf numFmtId="0" fontId="10" fillId="130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10" fillId="132" borderId="1" pivotButton="0" quotePrefix="0" xfId="0"/>
    <xf numFmtId="0" fontId="10" fillId="133" borderId="1" pivotButton="0" quotePrefix="0" xfId="0"/>
    <xf numFmtId="0" fontId="10" fillId="134" borderId="1" pivotButton="0" quotePrefix="0" xfId="0"/>
    <xf numFmtId="0" fontId="10" fillId="135" borderId="1" pivotButton="0" quotePrefix="0" xfId="0"/>
    <xf numFmtId="0" fontId="10" fillId="137" borderId="1" pivotButton="0" quotePrefix="0" xfId="0"/>
    <xf numFmtId="0" fontId="10" fillId="136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10" fillId="138" borderId="1" pivotButton="0" quotePrefix="0" xfId="0"/>
    <xf numFmtId="0" fontId="10" fillId="139" borderId="1" pivotButton="0" quotePrefix="0" xfId="0"/>
    <xf numFmtId="0" fontId="10" fillId="140" borderId="1" pivotButton="0" quotePrefix="0" xfId="0"/>
    <xf numFmtId="0" fontId="10" fillId="141" borderId="1" pivotButton="0" quotePrefix="0" xfId="0"/>
    <xf numFmtId="0" fontId="10" fillId="143" borderId="1" pivotButton="0" quotePrefix="0" xfId="0"/>
    <xf numFmtId="0" fontId="10" fillId="142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10" fillId="144" borderId="1" pivotButton="0" quotePrefix="0" xfId="0"/>
    <xf numFmtId="0" fontId="10" fillId="145" borderId="1" pivotButton="0" quotePrefix="0" xfId="0"/>
    <xf numFmtId="0" fontId="10" fillId="146" borderId="1" pivotButton="0" quotePrefix="0" xfId="0"/>
    <xf numFmtId="0" fontId="10" fillId="147" borderId="1" pivotButton="0" quotePrefix="0" xfId="0"/>
    <xf numFmtId="0" fontId="10" fillId="149" borderId="1" pivotButton="0" quotePrefix="0" xfId="0"/>
    <xf numFmtId="0" fontId="10" fillId="148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10" fillId="150" borderId="1" pivotButton="0" quotePrefix="0" xfId="0"/>
    <xf numFmtId="0" fontId="10" fillId="151" borderId="1" pivotButton="0" quotePrefix="0" xfId="0"/>
    <xf numFmtId="0" fontId="10" fillId="152" borderId="1" pivotButton="0" quotePrefix="0" xfId="0"/>
    <xf numFmtId="0" fontId="10" fillId="153" borderId="1" pivotButton="0" quotePrefix="0" xfId="0"/>
    <xf numFmtId="0" fontId="10" fillId="155" borderId="1" pivotButton="0" quotePrefix="0" xfId="0"/>
    <xf numFmtId="0" fontId="10" fillId="154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10" fillId="156" borderId="1" pivotButton="0" quotePrefix="0" xfId="0"/>
    <xf numFmtId="0" fontId="10" fillId="157" borderId="1" pivotButton="0" quotePrefix="0" xfId="0"/>
    <xf numFmtId="0" fontId="10" fillId="158" borderId="1" pivotButton="0" quotePrefix="0" xfId="0"/>
    <xf numFmtId="0" fontId="10" fillId="159" borderId="1" pivotButton="0" quotePrefix="0" xfId="0"/>
    <xf numFmtId="0" fontId="10" fillId="161" borderId="1" pivotButton="0" quotePrefix="0" xfId="0"/>
    <xf numFmtId="0" fontId="10" fillId="160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10" fillId="162" borderId="1" pivotButton="0" quotePrefix="0" xfId="0"/>
    <xf numFmtId="0" fontId="10" fillId="163" borderId="1" pivotButton="0" quotePrefix="0" xfId="0"/>
    <xf numFmtId="0" fontId="10" fillId="164" borderId="1" pivotButton="0" quotePrefix="0" xfId="0"/>
    <xf numFmtId="0" fontId="10" fillId="165" borderId="1" pivotButton="0" quotePrefix="0" xfId="0"/>
    <xf numFmtId="0" fontId="10" fillId="167" borderId="1" pivotButton="0" quotePrefix="0" xfId="0"/>
    <xf numFmtId="0" fontId="10" fillId="166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10" fillId="168" borderId="1" pivotButton="0" quotePrefix="0" xfId="0"/>
    <xf numFmtId="0" fontId="10" fillId="169" borderId="1" pivotButton="0" quotePrefix="0" xfId="0"/>
    <xf numFmtId="0" fontId="10" fillId="170" borderId="1" pivotButton="0" quotePrefix="0" xfId="0"/>
    <xf numFmtId="0" fontId="10" fillId="171" borderId="1" pivotButton="0" quotePrefix="0" xfId="0"/>
    <xf numFmtId="0" fontId="10" fillId="173" borderId="1" pivotButton="0" quotePrefix="0" xfId="0"/>
    <xf numFmtId="0" fontId="10" fillId="172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10" fillId="174" borderId="1" pivotButton="0" quotePrefix="0" xfId="0"/>
    <xf numFmtId="0" fontId="10" fillId="175" borderId="1" pivotButton="0" quotePrefix="0" xfId="0"/>
    <xf numFmtId="0" fontId="10" fillId="176" borderId="1" pivotButton="0" quotePrefix="0" xfId="0"/>
    <xf numFmtId="0" fontId="10" fillId="177" borderId="1" pivotButton="0" quotePrefix="0" xfId="0"/>
    <xf numFmtId="0" fontId="10" fillId="179" borderId="1" pivotButton="0" quotePrefix="0" xfId="0"/>
    <xf numFmtId="0" fontId="10" fillId="178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10" fillId="180" borderId="1" pivotButton="0" quotePrefix="0" xfId="0"/>
    <xf numFmtId="0" fontId="10" fillId="181" borderId="1" pivotButton="0" quotePrefix="0" xfId="0"/>
    <xf numFmtId="0" fontId="10" fillId="182" borderId="1" pivotButton="0" quotePrefix="0" xfId="0"/>
    <xf numFmtId="0" fontId="10" fillId="183" borderId="1" pivotButton="0" quotePrefix="0" xfId="0"/>
    <xf numFmtId="0" fontId="10" fillId="185" borderId="1" pivotButton="0" quotePrefix="0" xfId="0"/>
    <xf numFmtId="0" fontId="10" fillId="184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10" fillId="186" borderId="1" pivotButton="0" quotePrefix="0" xfId="0"/>
    <xf numFmtId="0" fontId="10" fillId="187" borderId="1" pivotButton="0" quotePrefix="0" xfId="0"/>
    <xf numFmtId="0" fontId="10" fillId="188" borderId="1" pivotButton="0" quotePrefix="0" xfId="0"/>
    <xf numFmtId="0" fontId="10" fillId="189" borderId="1" pivotButton="0" quotePrefix="0" xfId="0"/>
    <xf numFmtId="0" fontId="10" fillId="191" borderId="1" pivotButton="0" quotePrefix="0" xfId="0"/>
    <xf numFmtId="0" fontId="10" fillId="190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10" fillId="192" borderId="1" pivotButton="0" quotePrefix="0" xfId="0"/>
    <xf numFmtId="0" fontId="10" fillId="193" borderId="1" pivotButton="0" quotePrefix="0" xfId="0"/>
    <xf numFmtId="0" fontId="10" fillId="194" borderId="1" pivotButton="0" quotePrefix="0" xfId="0"/>
    <xf numFmtId="0" fontId="10" fillId="195" borderId="1" pivotButton="0" quotePrefix="0" xfId="0"/>
    <xf numFmtId="0" fontId="10" fillId="197" borderId="1" pivotButton="0" quotePrefix="0" xfId="0"/>
    <xf numFmtId="0" fontId="10" fillId="196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10" fillId="198" borderId="1" pivotButton="0" quotePrefix="0" xfId="0"/>
    <xf numFmtId="0" fontId="10" fillId="199" borderId="1" pivotButton="0" quotePrefix="0" xfId="0"/>
    <xf numFmtId="0" fontId="10" fillId="200" borderId="1" pivotButton="0" quotePrefix="0" xfId="0"/>
    <xf numFmtId="0" fontId="10" fillId="201" borderId="1" pivotButton="0" quotePrefix="0" xfId="0"/>
    <xf numFmtId="0" fontId="10" fillId="203" borderId="1" pivotButton="0" quotePrefix="0" xfId="0"/>
    <xf numFmtId="0" fontId="10" fillId="202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10" fillId="204" borderId="1" pivotButton="0" quotePrefix="0" xfId="0"/>
    <xf numFmtId="0" fontId="10" fillId="205" borderId="1" pivotButton="0" quotePrefix="0" xfId="0"/>
    <xf numFmtId="0" fontId="10" fillId="206" borderId="1" pivotButton="0" quotePrefix="0" xfId="0"/>
    <xf numFmtId="0" fontId="10" fillId="207" borderId="1" pivotButton="0" quotePrefix="0" xfId="0"/>
    <xf numFmtId="0" fontId="10" fillId="209" borderId="1" pivotButton="0" quotePrefix="0" xfId="0"/>
    <xf numFmtId="0" fontId="10" fillId="208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10" fillId="210" borderId="1" pivotButton="0" quotePrefix="0" xfId="0"/>
    <xf numFmtId="0" fontId="10" fillId="211" borderId="1" pivotButton="0" quotePrefix="0" xfId="0"/>
    <xf numFmtId="0" fontId="10" fillId="212" borderId="1" pivotButton="0" quotePrefix="0" xfId="0"/>
    <xf numFmtId="0" fontId="10" fillId="213" borderId="1" pivotButton="0" quotePrefix="0" xfId="0"/>
    <xf numFmtId="0" fontId="10" fillId="215" borderId="1" pivotButton="0" quotePrefix="0" xfId="0"/>
    <xf numFmtId="0" fontId="10" fillId="214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10" fillId="216" borderId="1" pivotButton="0" quotePrefix="0" xfId="0"/>
    <xf numFmtId="0" fontId="10" fillId="217" borderId="1" pivotButton="0" quotePrefix="0" xfId="0"/>
    <xf numFmtId="0" fontId="10" fillId="218" borderId="1" pivotButton="0" quotePrefix="0" xfId="0"/>
    <xf numFmtId="0" fontId="10" fillId="219" borderId="1" pivotButton="0" quotePrefix="0" xfId="0"/>
    <xf numFmtId="0" fontId="10" fillId="221" borderId="1" pivotButton="0" quotePrefix="0" xfId="0"/>
    <xf numFmtId="0" fontId="10" fillId="220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10" fillId="222" borderId="1" pivotButton="0" quotePrefix="0" xfId="0"/>
    <xf numFmtId="0" fontId="10" fillId="223" borderId="1" pivotButton="0" quotePrefix="0" xfId="0"/>
    <xf numFmtId="0" fontId="10" fillId="224" borderId="1" pivotButton="0" quotePrefix="0" xfId="0"/>
    <xf numFmtId="0" fontId="10" fillId="225" borderId="1" pivotButton="0" quotePrefix="0" xfId="0"/>
    <xf numFmtId="0" fontId="10" fillId="227" borderId="1" pivotButton="0" quotePrefix="0" xfId="0"/>
    <xf numFmtId="0" fontId="10" fillId="226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10" fillId="228" borderId="1" pivotButton="0" quotePrefix="0" xfId="0"/>
    <xf numFmtId="0" fontId="10" fillId="229" borderId="1" pivotButton="0" quotePrefix="0" xfId="0"/>
    <xf numFmtId="0" fontId="10" fillId="230" borderId="1" pivotButton="0" quotePrefix="0" xfId="0"/>
    <xf numFmtId="0" fontId="10" fillId="231" borderId="1" pivotButton="0" quotePrefix="0" xfId="0"/>
    <xf numFmtId="0" fontId="10" fillId="233" borderId="1" pivotButton="0" quotePrefix="0" xfId="0"/>
    <xf numFmtId="0" fontId="10" fillId="232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10" fillId="234" borderId="1" pivotButton="0" quotePrefix="0" xfId="0"/>
    <xf numFmtId="0" fontId="10" fillId="235" borderId="1" pivotButton="0" quotePrefix="0" xfId="0"/>
    <xf numFmtId="0" fontId="10" fillId="236" borderId="1" pivotButton="0" quotePrefix="0" xfId="0"/>
    <xf numFmtId="0" fontId="10" fillId="237" borderId="1" pivotButton="0" quotePrefix="0" xfId="0"/>
    <xf numFmtId="0" fontId="10" fillId="239" borderId="1" pivotButton="0" quotePrefix="0" xfId="0"/>
    <xf numFmtId="0" fontId="10" fillId="238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10" fillId="240" borderId="1" pivotButton="0" quotePrefix="0" xfId="0"/>
    <xf numFmtId="0" fontId="10" fillId="241" borderId="1" pivotButton="0" quotePrefix="0" xfId="0"/>
    <xf numFmtId="0" fontId="10" fillId="242" borderId="1" pivotButton="0" quotePrefix="0" xfId="0"/>
    <xf numFmtId="0" fontId="10" fillId="243" borderId="1" pivotButton="0" quotePrefix="0" xfId="0"/>
    <xf numFmtId="0" fontId="10" fillId="245" borderId="1" pivotButton="0" quotePrefix="0" xfId="0"/>
    <xf numFmtId="0" fontId="10" fillId="244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10" fillId="246" borderId="1" pivotButton="0" quotePrefix="0" xfId="0"/>
    <xf numFmtId="0" fontId="10" fillId="247" borderId="1" pivotButton="0" quotePrefix="0" xfId="0"/>
    <xf numFmtId="0" fontId="10" fillId="248" borderId="1" pivotButton="0" quotePrefix="0" xfId="0"/>
    <xf numFmtId="0" fontId="10" fillId="249" borderId="1" pivotButton="0" quotePrefix="0" xfId="0"/>
    <xf numFmtId="0" fontId="10" fillId="251" borderId="1" pivotButton="0" quotePrefix="0" xfId="0"/>
    <xf numFmtId="0" fontId="10" fillId="250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10" fillId="252" borderId="1" pivotButton="0" quotePrefix="0" xfId="0"/>
    <xf numFmtId="0" fontId="10" fillId="253" borderId="1" pivotButton="0" quotePrefix="0" xfId="0"/>
    <xf numFmtId="0" fontId="10" fillId="254" borderId="1" pivotButton="0" quotePrefix="0" xfId="0"/>
    <xf numFmtId="0" fontId="10" fillId="255" borderId="1" pivotButton="0" quotePrefix="0" xfId="0"/>
    <xf numFmtId="0" fontId="10" fillId="257" borderId="1" pivotButton="0" quotePrefix="0" xfId="0"/>
    <xf numFmtId="0" fontId="10" fillId="256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10" fillId="258" borderId="1" pivotButton="0" quotePrefix="0" xfId="0"/>
    <xf numFmtId="0" fontId="10" fillId="259" borderId="1" pivotButton="0" quotePrefix="0" xfId="0"/>
    <xf numFmtId="0" fontId="10" fillId="260" borderId="1" pivotButton="0" quotePrefix="0" xfId="0"/>
    <xf numFmtId="0" fontId="10" fillId="261" borderId="1" pivotButton="0" quotePrefix="0" xfId="0"/>
    <xf numFmtId="0" fontId="10" fillId="263" borderId="1" pivotButton="0" quotePrefix="0" xfId="0"/>
    <xf numFmtId="0" fontId="10" fillId="262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10" fillId="264" borderId="1" pivotButton="0" quotePrefix="0" xfId="0"/>
    <xf numFmtId="0" fontId="10" fillId="265" borderId="1" pivotButton="0" quotePrefix="0" xfId="0"/>
    <xf numFmtId="0" fontId="10" fillId="266" borderId="1" pivotButton="0" quotePrefix="0" xfId="0"/>
    <xf numFmtId="0" fontId="10" fillId="267" borderId="1" pivotButton="0" quotePrefix="0" xfId="0"/>
    <xf numFmtId="0" fontId="10" fillId="269" borderId="1" pivotButton="0" quotePrefix="0" xfId="0"/>
    <xf numFmtId="0" fontId="10" fillId="268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10" fillId="270" borderId="1" pivotButton="0" quotePrefix="0" xfId="0"/>
    <xf numFmtId="0" fontId="10" fillId="271" borderId="1" pivotButton="0" quotePrefix="0" xfId="0"/>
    <xf numFmtId="0" fontId="10" fillId="272" borderId="1" pivotButton="0" quotePrefix="0" xfId="0"/>
    <xf numFmtId="0" fontId="10" fillId="273" borderId="1" pivotButton="0" quotePrefix="0" xfId="0"/>
    <xf numFmtId="0" fontId="10" fillId="275" borderId="1" pivotButton="0" quotePrefix="0" xfId="0"/>
    <xf numFmtId="0" fontId="10" fillId="274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10" fillId="276" borderId="1" pivotButton="0" quotePrefix="0" xfId="0"/>
    <xf numFmtId="0" fontId="10" fillId="277" borderId="1" pivotButton="0" quotePrefix="0" xfId="0"/>
    <xf numFmtId="0" fontId="10" fillId="278" borderId="1" pivotButton="0" quotePrefix="0" xfId="0"/>
    <xf numFmtId="0" fontId="10" fillId="279" borderId="1" pivotButton="0" quotePrefix="0" xfId="0"/>
    <xf numFmtId="0" fontId="10" fillId="281" borderId="1" pivotButton="0" quotePrefix="0" xfId="0"/>
    <xf numFmtId="0" fontId="10" fillId="280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10" fillId="282" borderId="1" pivotButton="0" quotePrefix="0" xfId="0"/>
    <xf numFmtId="0" fontId="10" fillId="283" borderId="1" pivotButton="0" quotePrefix="0" xfId="0"/>
    <xf numFmtId="0" fontId="10" fillId="284" borderId="1" pivotButton="0" quotePrefix="0" xfId="0"/>
    <xf numFmtId="0" fontId="10" fillId="285" borderId="1" pivotButton="0" quotePrefix="0" xfId="0"/>
    <xf numFmtId="0" fontId="10" fillId="287" borderId="1" pivotButton="0" quotePrefix="0" xfId="0"/>
    <xf numFmtId="0" fontId="10" fillId="286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0" fontId="0" fillId="285" borderId="0" pivotButton="0" quotePrefix="0" xfId="0"/>
    <xf numFmtId="0" fontId="0" fillId="286" borderId="0" pivotButton="0" quotePrefix="0" xfId="0"/>
    <xf numFmtId="0" fontId="10" fillId="288" borderId="1" pivotButton="0" quotePrefix="0" xfId="0"/>
    <xf numFmtId="0" fontId="10" fillId="289" borderId="1" pivotButton="0" quotePrefix="0" xfId="0"/>
    <xf numFmtId="0" fontId="10" fillId="290" borderId="1" pivotButton="0" quotePrefix="0" xfId="0"/>
    <xf numFmtId="0" fontId="10" fillId="291" borderId="1" pivotButton="0" quotePrefix="0" xfId="0"/>
    <xf numFmtId="0" fontId="10" fillId="293" borderId="1" pivotButton="0" quotePrefix="0" xfId="0"/>
    <xf numFmtId="0" fontId="10" fillId="292" borderId="0" pivotButton="0" quotePrefix="0" xfId="0"/>
    <xf numFmtId="0" fontId="0" fillId="288" borderId="0" pivotButton="0" quotePrefix="0" xfId="0"/>
    <xf numFmtId="0" fontId="0" fillId="289" borderId="0" pivotButton="0" quotePrefix="0" xfId="0"/>
    <xf numFmtId="0" fontId="0" fillId="290" borderId="0" pivotButton="0" quotePrefix="0" xfId="0"/>
    <xf numFmtId="0" fontId="0" fillId="291" borderId="0" pivotButton="0" quotePrefix="0" xfId="0"/>
    <xf numFmtId="0" fontId="0" fillId="292" borderId="0" pivotButton="0" quotePrefix="0" xfId="0"/>
    <xf numFmtId="0" fontId="10" fillId="294" borderId="1" pivotButton="0" quotePrefix="0" xfId="0"/>
    <xf numFmtId="0" fontId="10" fillId="295" borderId="1" pivotButton="0" quotePrefix="0" xfId="0"/>
    <xf numFmtId="0" fontId="10" fillId="296" borderId="1" pivotButton="0" quotePrefix="0" xfId="0"/>
    <xf numFmtId="0" fontId="10" fillId="297" borderId="1" pivotButton="0" quotePrefix="0" xfId="0"/>
    <xf numFmtId="0" fontId="10" fillId="299" borderId="1" pivotButton="0" quotePrefix="0" xfId="0"/>
    <xf numFmtId="0" fontId="10" fillId="298" borderId="0" pivotButton="0" quotePrefix="0" xfId="0"/>
    <xf numFmtId="0" fontId="0" fillId="294" borderId="0" pivotButton="0" quotePrefix="0" xfId="0"/>
    <xf numFmtId="0" fontId="0" fillId="295" borderId="0" pivotButton="0" quotePrefix="0" xfId="0"/>
    <xf numFmtId="0" fontId="0" fillId="296" borderId="0" pivotButton="0" quotePrefix="0" xfId="0"/>
    <xf numFmtId="0" fontId="0" fillId="297" borderId="0" pivotButton="0" quotePrefix="0" xfId="0"/>
    <xf numFmtId="0" fontId="0" fillId="298" borderId="0" pivotButton="0" quotePrefix="0" xfId="0"/>
    <xf numFmtId="0" fontId="10" fillId="300" borderId="1" pivotButton="0" quotePrefix="0" xfId="0"/>
    <xf numFmtId="0" fontId="10" fillId="301" borderId="1" pivotButton="0" quotePrefix="0" xfId="0"/>
    <xf numFmtId="0" fontId="10" fillId="302" borderId="1" pivotButton="0" quotePrefix="0" xfId="0"/>
    <xf numFmtId="0" fontId="10" fillId="303" borderId="1" pivotButton="0" quotePrefix="0" xfId="0"/>
    <xf numFmtId="0" fontId="10" fillId="305" borderId="1" pivotButton="0" quotePrefix="0" xfId="0"/>
    <xf numFmtId="0" fontId="10" fillId="304" borderId="0" pivotButton="0" quotePrefix="0" xfId="0"/>
    <xf numFmtId="0" fontId="0" fillId="300" borderId="0" pivotButton="0" quotePrefix="0" xfId="0"/>
    <xf numFmtId="0" fontId="0" fillId="301" borderId="0" pivotButton="0" quotePrefix="0" xfId="0"/>
    <xf numFmtId="0" fontId="0" fillId="302" borderId="0" pivotButton="0" quotePrefix="0" xfId="0"/>
    <xf numFmtId="0" fontId="0" fillId="303" borderId="0" pivotButton="0" quotePrefix="0" xfId="0"/>
    <xf numFmtId="0" fontId="0" fillId="304" borderId="0" pivotButton="0" quotePrefix="0" xfId="0"/>
    <xf numFmtId="0" fontId="10" fillId="306" borderId="1" pivotButton="0" quotePrefix="0" xfId="0"/>
    <xf numFmtId="0" fontId="10" fillId="307" borderId="1" pivotButton="0" quotePrefix="0" xfId="0"/>
    <xf numFmtId="0" fontId="10" fillId="308" borderId="1" pivotButton="0" quotePrefix="0" xfId="0"/>
    <xf numFmtId="0" fontId="10" fillId="309" borderId="1" pivotButton="0" quotePrefix="0" xfId="0"/>
    <xf numFmtId="0" fontId="10" fillId="311" borderId="1" pivotButton="0" quotePrefix="0" xfId="0"/>
    <xf numFmtId="0" fontId="10" fillId="310" borderId="0" pivotButton="0" quotePrefix="0" xfId="0"/>
    <xf numFmtId="0" fontId="0" fillId="306" borderId="0" pivotButton="0" quotePrefix="0" xfId="0"/>
    <xf numFmtId="0" fontId="0" fillId="307" borderId="0" pivotButton="0" quotePrefix="0" xfId="0"/>
    <xf numFmtId="0" fontId="0" fillId="308" borderId="0" pivotButton="0" quotePrefix="0" xfId="0"/>
    <xf numFmtId="0" fontId="0" fillId="309" borderId="0" pivotButton="0" quotePrefix="0" xfId="0"/>
    <xf numFmtId="0" fontId="0" fillId="310" borderId="0" pivotButton="0" quotePrefix="0" xfId="0"/>
    <xf numFmtId="0" fontId="10" fillId="312" borderId="1" pivotButton="0" quotePrefix="0" xfId="0"/>
    <xf numFmtId="0" fontId="10" fillId="313" borderId="1" pivotButton="0" quotePrefix="0" xfId="0"/>
    <xf numFmtId="0" fontId="10" fillId="314" borderId="1" pivotButton="0" quotePrefix="0" xfId="0"/>
    <xf numFmtId="0" fontId="10" fillId="315" borderId="1" pivotButton="0" quotePrefix="0" xfId="0"/>
    <xf numFmtId="0" fontId="10" fillId="317" borderId="1" pivotButton="0" quotePrefix="0" xfId="0"/>
    <xf numFmtId="0" fontId="10" fillId="316" borderId="0" pivotButton="0" quotePrefix="0" xfId="0"/>
    <xf numFmtId="0" fontId="0" fillId="312" borderId="0" pivotButton="0" quotePrefix="0" xfId="0"/>
    <xf numFmtId="0" fontId="0" fillId="313" borderId="0" pivotButton="0" quotePrefix="0" xfId="0"/>
    <xf numFmtId="0" fontId="0" fillId="314" borderId="0" pivotButton="0" quotePrefix="0" xfId="0"/>
    <xf numFmtId="0" fontId="0" fillId="315" borderId="0" pivotButton="0" quotePrefix="0" xfId="0"/>
    <xf numFmtId="0" fontId="0" fillId="316" borderId="0" pivotButton="0" quotePrefix="0" xfId="0"/>
    <xf numFmtId="0" fontId="10" fillId="318" borderId="1" pivotButton="0" quotePrefix="0" xfId="0"/>
    <xf numFmtId="0" fontId="10" fillId="319" borderId="1" pivotButton="0" quotePrefix="0" xfId="0"/>
    <xf numFmtId="0" fontId="10" fillId="320" borderId="1" pivotButton="0" quotePrefix="0" xfId="0"/>
    <xf numFmtId="0" fontId="10" fillId="321" borderId="1" pivotButton="0" quotePrefix="0" xfId="0"/>
    <xf numFmtId="0" fontId="10" fillId="323" borderId="1" pivotButton="0" quotePrefix="0" xfId="0"/>
    <xf numFmtId="0" fontId="10" fillId="322" borderId="0" pivotButton="0" quotePrefix="0" xfId="0"/>
    <xf numFmtId="0" fontId="0" fillId="318" borderId="0" pivotButton="0" quotePrefix="0" xfId="0"/>
    <xf numFmtId="0" fontId="0" fillId="319" borderId="0" pivotButton="0" quotePrefix="0" xfId="0"/>
    <xf numFmtId="0" fontId="0" fillId="320" borderId="0" pivotButton="0" quotePrefix="0" xfId="0"/>
    <xf numFmtId="0" fontId="0" fillId="321" borderId="0" pivotButton="0" quotePrefix="0" xfId="0"/>
    <xf numFmtId="0" fontId="0" fillId="322" borderId="0" pivotButton="0" quotePrefix="0" xfId="0"/>
    <xf numFmtId="0" fontId="10" fillId="324" borderId="1" pivotButton="0" quotePrefix="0" xfId="0"/>
    <xf numFmtId="0" fontId="10" fillId="325" borderId="1" pivotButton="0" quotePrefix="0" xfId="0"/>
    <xf numFmtId="0" fontId="10" fillId="326" borderId="1" pivotButton="0" quotePrefix="0" xfId="0"/>
    <xf numFmtId="0" fontId="10" fillId="327" borderId="1" pivotButton="0" quotePrefix="0" xfId="0"/>
    <xf numFmtId="0" fontId="10" fillId="329" borderId="1" pivotButton="0" quotePrefix="0" xfId="0"/>
    <xf numFmtId="0" fontId="10" fillId="328" borderId="0" pivotButton="0" quotePrefix="0" xfId="0"/>
    <xf numFmtId="0" fontId="0" fillId="324" borderId="0" pivotButton="0" quotePrefix="0" xfId="0"/>
    <xf numFmtId="0" fontId="0" fillId="325" borderId="0" pivotButton="0" quotePrefix="0" xfId="0"/>
    <xf numFmtId="0" fontId="0" fillId="326" borderId="0" pivotButton="0" quotePrefix="0" xfId="0"/>
    <xf numFmtId="0" fontId="0" fillId="327" borderId="0" pivotButton="0" quotePrefix="0" xfId="0"/>
    <xf numFmtId="0" fontId="0" fillId="328" borderId="0" pivotButton="0" quotePrefix="0" xfId="0"/>
    <xf numFmtId="0" fontId="10" fillId="330" borderId="1" pivotButton="0" quotePrefix="0" xfId="0"/>
    <xf numFmtId="0" fontId="10" fillId="331" borderId="1" pivotButton="0" quotePrefix="0" xfId="0"/>
    <xf numFmtId="0" fontId="10" fillId="332" borderId="1" pivotButton="0" quotePrefix="0" xfId="0"/>
    <xf numFmtId="0" fontId="10" fillId="333" borderId="1" pivotButton="0" quotePrefix="0" xfId="0"/>
    <xf numFmtId="0" fontId="10" fillId="335" borderId="1" pivotButton="0" quotePrefix="0" xfId="0"/>
    <xf numFmtId="0" fontId="10" fillId="334" borderId="0" pivotButton="0" quotePrefix="0" xfId="0"/>
    <xf numFmtId="0" fontId="0" fillId="330" borderId="0" pivotButton="0" quotePrefix="0" xfId="0"/>
    <xf numFmtId="0" fontId="0" fillId="331" borderId="0" pivotButton="0" quotePrefix="0" xfId="0"/>
    <xf numFmtId="0" fontId="0" fillId="332" borderId="0" pivotButton="0" quotePrefix="0" xfId="0"/>
    <xf numFmtId="0" fontId="0" fillId="333" borderId="0" pivotButton="0" quotePrefix="0" xfId="0"/>
    <xf numFmtId="0" fontId="0" fillId="334" borderId="0" pivotButton="0" quotePrefix="0" xfId="0"/>
    <xf numFmtId="0" fontId="10" fillId="336" borderId="1" pivotButton="0" quotePrefix="0" xfId="0"/>
    <xf numFmtId="0" fontId="10" fillId="337" borderId="1" pivotButton="0" quotePrefix="0" xfId="0"/>
    <xf numFmtId="0" fontId="10" fillId="338" borderId="1" pivotButton="0" quotePrefix="0" xfId="0"/>
    <xf numFmtId="0" fontId="10" fillId="339" borderId="1" pivotButton="0" quotePrefix="0" xfId="0"/>
    <xf numFmtId="0" fontId="10" fillId="341" borderId="1" pivotButton="0" quotePrefix="0" xfId="0"/>
    <xf numFmtId="0" fontId="10" fillId="340" borderId="0" pivotButton="0" quotePrefix="0" xfId="0"/>
    <xf numFmtId="0" fontId="0" fillId="336" borderId="0" pivotButton="0" quotePrefix="0" xfId="0"/>
    <xf numFmtId="0" fontId="0" fillId="337" borderId="0" pivotButton="0" quotePrefix="0" xfId="0"/>
    <xf numFmtId="0" fontId="0" fillId="338" borderId="0" pivotButton="0" quotePrefix="0" xfId="0"/>
    <xf numFmtId="0" fontId="0" fillId="339" borderId="0" pivotButton="0" quotePrefix="0" xfId="0"/>
    <xf numFmtId="0" fontId="0" fillId="340" borderId="0" pivotButton="0" quotePrefix="0" xfId="0"/>
    <xf numFmtId="0" fontId="10" fillId="342" borderId="1" pivotButton="0" quotePrefix="0" xfId="0"/>
    <xf numFmtId="0" fontId="10" fillId="343" borderId="1" pivotButton="0" quotePrefix="0" xfId="0"/>
    <xf numFmtId="0" fontId="10" fillId="344" borderId="1" pivotButton="0" quotePrefix="0" xfId="0"/>
    <xf numFmtId="0" fontId="10" fillId="345" borderId="1" pivotButton="0" quotePrefix="0" xfId="0"/>
    <xf numFmtId="0" fontId="10" fillId="347" borderId="1" pivotButton="0" quotePrefix="0" xfId="0"/>
    <xf numFmtId="0" fontId="10" fillId="346" borderId="0" pivotButton="0" quotePrefix="0" xfId="0"/>
    <xf numFmtId="0" fontId="0" fillId="342" borderId="0" pivotButton="0" quotePrefix="0" xfId="0"/>
    <xf numFmtId="0" fontId="0" fillId="343" borderId="0" pivotButton="0" quotePrefix="0" xfId="0"/>
    <xf numFmtId="0" fontId="0" fillId="344" borderId="0" pivotButton="0" quotePrefix="0" xfId="0"/>
    <xf numFmtId="0" fontId="0" fillId="345" borderId="0" pivotButton="0" quotePrefix="0" xfId="0"/>
    <xf numFmtId="0" fontId="0" fillId="346" borderId="0" pivotButton="0" quotePrefix="0" xfId="0"/>
    <xf numFmtId="0" fontId="10" fillId="348" borderId="1" pivotButton="0" quotePrefix="0" xfId="0"/>
    <xf numFmtId="0" fontId="10" fillId="349" borderId="1" pivotButton="0" quotePrefix="0" xfId="0"/>
    <xf numFmtId="0" fontId="10" fillId="350" borderId="1" pivotButton="0" quotePrefix="0" xfId="0"/>
    <xf numFmtId="0" fontId="10" fillId="351" borderId="1" pivotButton="0" quotePrefix="0" xfId="0"/>
    <xf numFmtId="0" fontId="10" fillId="354" borderId="1" pivotButton="0" quotePrefix="0" xfId="0"/>
    <xf numFmtId="0" fontId="10" fillId="352" borderId="0" pivotButton="0" quotePrefix="0" xfId="0"/>
    <xf numFmtId="0" fontId="10" fillId="353" borderId="0" pivotButton="0" quotePrefix="0" xfId="0"/>
    <xf numFmtId="0" fontId="10" fillId="355" borderId="1" pivotButton="0" quotePrefix="0" xfId="0"/>
    <xf numFmtId="0" fontId="10" fillId="356" borderId="1" pivotButton="0" quotePrefix="0" xfId="0"/>
    <xf numFmtId="0" fontId="10" fillId="357" borderId="1" pivotButton="0" quotePrefix="0" xfId="0"/>
    <xf numFmtId="0" fontId="10" fillId="358" borderId="1" pivotButton="0" quotePrefix="0" xfId="0"/>
    <xf numFmtId="0" fontId="10" fillId="361" borderId="1" pivotButton="0" quotePrefix="0" xfId="0"/>
    <xf numFmtId="0" fontId="10" fillId="359" borderId="0" pivotButton="0" quotePrefix="0" xfId="0"/>
    <xf numFmtId="0" fontId="10" fillId="360" borderId="0" pivotButton="0" quotePrefix="0" xfId="0"/>
    <xf numFmtId="0" fontId="0" fillId="355" borderId="0" pivotButton="0" quotePrefix="0" xfId="0"/>
    <xf numFmtId="0" fontId="0" fillId="356" borderId="0" pivotButton="0" quotePrefix="0" xfId="0"/>
    <xf numFmtId="0" fontId="0" fillId="357" borderId="0" pivotButton="0" quotePrefix="0" xfId="0"/>
    <xf numFmtId="0" fontId="0" fillId="358" borderId="0" pivotButton="0" quotePrefix="0" xfId="0"/>
    <xf numFmtId="0" fontId="0" fillId="359" borderId="0" pivotButton="0" quotePrefix="0" xfId="0"/>
    <xf numFmtId="0" fontId="0" fillId="360" borderId="0" pivotButton="0" quotePrefix="0" xfId="0"/>
    <xf numFmtId="0" fontId="0" fillId="361" borderId="0" pivotButton="0" quotePrefix="0" xfId="0"/>
    <xf numFmtId="0" fontId="10" fillId="362" borderId="1" pivotButton="0" quotePrefix="0" xfId="0"/>
    <xf numFmtId="0" fontId="10" fillId="363" borderId="1" pivotButton="0" quotePrefix="0" xfId="0"/>
    <xf numFmtId="0" fontId="10" fillId="364" borderId="1" pivotButton="0" quotePrefix="0" xfId="0"/>
    <xf numFmtId="0" fontId="10" fillId="365" borderId="1" pivotButton="0" quotePrefix="0" xfId="0"/>
    <xf numFmtId="0" fontId="10" fillId="368" borderId="1" pivotButton="0" quotePrefix="0" xfId="0"/>
    <xf numFmtId="0" fontId="10" fillId="366" borderId="0" pivotButton="0" quotePrefix="0" xfId="0"/>
    <xf numFmtId="0" fontId="10" fillId="367" borderId="0" pivotButton="0" quotePrefix="0" xfId="0"/>
    <xf numFmtId="0" fontId="0" fillId="362" borderId="0" pivotButton="0" quotePrefix="0" xfId="0"/>
    <xf numFmtId="0" fontId="0" fillId="363" borderId="0" pivotButton="0" quotePrefix="0" xfId="0"/>
    <xf numFmtId="0" fontId="0" fillId="364" borderId="0" pivotButton="0" quotePrefix="0" xfId="0"/>
    <xf numFmtId="0" fontId="0" fillId="365" borderId="0" pivotButton="0" quotePrefix="0" xfId="0"/>
    <xf numFmtId="0" fontId="0" fillId="366" borderId="0" pivotButton="0" quotePrefix="0" xfId="0"/>
    <xf numFmtId="0" fontId="0" fillId="367" borderId="0" pivotButton="0" quotePrefix="0" xfId="0"/>
    <xf numFmtId="0" fontId="0" fillId="368" borderId="0" pivotButton="0" quotePrefix="0" xfId="0"/>
    <xf numFmtId="0" fontId="10" fillId="369" borderId="1" pivotButton="0" quotePrefix="0" xfId="0"/>
    <xf numFmtId="0" fontId="10" fillId="370" borderId="1" pivotButton="0" quotePrefix="0" xfId="0"/>
    <xf numFmtId="0" fontId="10" fillId="371" borderId="1" pivotButton="0" quotePrefix="0" xfId="0"/>
    <xf numFmtId="0" fontId="10" fillId="372" borderId="1" pivotButton="0" quotePrefix="0" xfId="0"/>
    <xf numFmtId="0" fontId="10" fillId="375" borderId="1" pivotButton="0" quotePrefix="0" xfId="0"/>
    <xf numFmtId="0" fontId="10" fillId="373" borderId="0" pivotButton="0" quotePrefix="0" xfId="0"/>
    <xf numFmtId="0" fontId="10" fillId="374" borderId="0" pivotButton="0" quotePrefix="0" xfId="0"/>
    <xf numFmtId="0" fontId="0" fillId="369" borderId="0" pivotButton="0" quotePrefix="0" xfId="0"/>
    <xf numFmtId="0" fontId="0" fillId="370" borderId="0" pivotButton="0" quotePrefix="0" xfId="0"/>
    <xf numFmtId="0" fontId="0" fillId="371" borderId="0" pivotButton="0" quotePrefix="0" xfId="0"/>
    <xf numFmtId="0" fontId="0" fillId="372" borderId="0" pivotButton="0" quotePrefix="0" xfId="0"/>
    <xf numFmtId="0" fontId="0" fillId="373" borderId="0" pivotButton="0" quotePrefix="0" xfId="0"/>
    <xf numFmtId="0" fontId="0" fillId="374" borderId="0" pivotButton="0" quotePrefix="0" xfId="0"/>
    <xf numFmtId="0" fontId="0" fillId="375" borderId="0" pivotButton="0" quotePrefix="0" xfId="0"/>
    <xf numFmtId="0" fontId="10" fillId="376" borderId="1" pivotButton="0" quotePrefix="0" xfId="0"/>
    <xf numFmtId="0" fontId="10" fillId="377" borderId="1" pivotButton="0" quotePrefix="0" xfId="0"/>
    <xf numFmtId="0" fontId="10" fillId="378" borderId="1" pivotButton="0" quotePrefix="0" xfId="0"/>
    <xf numFmtId="0" fontId="10" fillId="379" borderId="1" pivotButton="0" quotePrefix="0" xfId="0"/>
    <xf numFmtId="0" fontId="10" fillId="382" borderId="1" pivotButton="0" quotePrefix="0" xfId="0"/>
    <xf numFmtId="0" fontId="10" fillId="380" borderId="0" pivotButton="0" quotePrefix="0" xfId="0"/>
    <xf numFmtId="0" fontId="10" fillId="381" borderId="0" pivotButton="0" quotePrefix="0" xfId="0"/>
    <xf numFmtId="0" fontId="0" fillId="376" borderId="0" pivotButton="0" quotePrefix="0" xfId="0"/>
    <xf numFmtId="0" fontId="0" fillId="377" borderId="0" pivotButton="0" quotePrefix="0" xfId="0"/>
    <xf numFmtId="0" fontId="0" fillId="378" borderId="0" pivotButton="0" quotePrefix="0" xfId="0"/>
    <xf numFmtId="0" fontId="0" fillId="379" borderId="0" pivotButton="0" quotePrefix="0" xfId="0"/>
    <xf numFmtId="0" fontId="0" fillId="380" borderId="0" pivotButton="0" quotePrefix="0" xfId="0"/>
    <xf numFmtId="0" fontId="0" fillId="381" borderId="0" pivotButton="0" quotePrefix="0" xfId="0"/>
    <xf numFmtId="0" fontId="0" fillId="382" borderId="0" pivotButton="0" quotePrefix="0" xfId="0"/>
    <xf numFmtId="0" fontId="10" fillId="383" borderId="1" pivotButton="0" quotePrefix="0" xfId="0"/>
    <xf numFmtId="0" fontId="10" fillId="384" borderId="1" pivotButton="0" quotePrefix="0" xfId="0"/>
    <xf numFmtId="0" fontId="10" fillId="385" borderId="1" pivotButton="0" quotePrefix="0" xfId="0"/>
    <xf numFmtId="0" fontId="10" fillId="386" borderId="1" pivotButton="0" quotePrefix="0" xfId="0"/>
    <xf numFmtId="0" fontId="10" fillId="389" borderId="1" pivotButton="0" quotePrefix="0" xfId="0"/>
    <xf numFmtId="0" fontId="10" fillId="387" borderId="0" pivotButton="0" quotePrefix="0" xfId="0"/>
    <xf numFmtId="0" fontId="10" fillId="388" borderId="0" pivotButton="0" quotePrefix="0" xfId="0"/>
    <xf numFmtId="0" fontId="0" fillId="383" borderId="0" pivotButton="0" quotePrefix="0" xfId="0"/>
    <xf numFmtId="0" fontId="0" fillId="384" borderId="0" pivotButton="0" quotePrefix="0" xfId="0"/>
    <xf numFmtId="0" fontId="0" fillId="385" borderId="0" pivotButton="0" quotePrefix="0" xfId="0"/>
    <xf numFmtId="0" fontId="0" fillId="386" borderId="0" pivotButton="0" quotePrefix="0" xfId="0"/>
    <xf numFmtId="0" fontId="0" fillId="387" borderId="0" pivotButton="0" quotePrefix="0" xfId="0"/>
    <xf numFmtId="0" fontId="0" fillId="388" borderId="0" pivotButton="0" quotePrefix="0" xfId="0"/>
    <xf numFmtId="0" fontId="0" fillId="389" borderId="0" pivotButton="0" quotePrefix="0" xfId="0"/>
    <xf numFmtId="0" fontId="10" fillId="390" borderId="1" pivotButton="0" quotePrefix="0" xfId="0"/>
    <xf numFmtId="0" fontId="10" fillId="391" borderId="1" pivotButton="0" quotePrefix="0" xfId="0"/>
    <xf numFmtId="0" fontId="10" fillId="392" borderId="1" pivotButton="0" quotePrefix="0" xfId="0"/>
    <xf numFmtId="0" fontId="10" fillId="393" borderId="1" pivotButton="0" quotePrefix="0" xfId="0"/>
    <xf numFmtId="0" fontId="10" fillId="396" borderId="1" pivotButton="0" quotePrefix="0" xfId="0"/>
    <xf numFmtId="0" fontId="10" fillId="394" borderId="0" pivotButton="0" quotePrefix="0" xfId="0"/>
    <xf numFmtId="0" fontId="10" fillId="395" borderId="0" pivotButton="0" quotePrefix="0" xfId="0"/>
    <xf numFmtId="0" fontId="10" fillId="397" borderId="1" pivotButton="0" quotePrefix="0" xfId="0"/>
    <xf numFmtId="0" fontId="10" fillId="398" borderId="1" pivotButton="0" quotePrefix="0" xfId="0"/>
    <xf numFmtId="0" fontId="10" fillId="399" borderId="1" pivotButton="0" quotePrefix="0" xfId="0"/>
    <xf numFmtId="0" fontId="10" fillId="400" borderId="1" pivotButton="0" quotePrefix="0" xfId="0"/>
    <xf numFmtId="0" fontId="10" fillId="403" borderId="1" pivotButton="0" quotePrefix="0" xfId="0"/>
    <xf numFmtId="0" fontId="10" fillId="401" borderId="0" pivotButton="0" quotePrefix="0" xfId="0"/>
    <xf numFmtId="0" fontId="10" fillId="402" borderId="0" pivotButton="0" quotePrefix="0" xfId="0"/>
    <xf numFmtId="0" fontId="10" fillId="404" borderId="1" pivotButton="0" quotePrefix="0" xfId="0"/>
    <xf numFmtId="0" fontId="10" fillId="405" borderId="1" pivotButton="0" quotePrefix="0" xfId="0"/>
    <xf numFmtId="0" fontId="10" fillId="406" borderId="1" pivotButton="0" quotePrefix="0" xfId="0"/>
    <xf numFmtId="0" fontId="10" fillId="407" borderId="1" pivotButton="0" quotePrefix="0" xfId="0"/>
    <xf numFmtId="0" fontId="10" fillId="410" borderId="1" pivotButton="0" quotePrefix="0" xfId="0"/>
    <xf numFmtId="0" fontId="10" fillId="408" borderId="0" pivotButton="0" quotePrefix="0" xfId="0"/>
    <xf numFmtId="0" fontId="10" fillId="409" borderId="0" pivotButton="0" quotePrefix="0" xfId="0"/>
    <xf numFmtId="0" fontId="0" fillId="404" borderId="0" pivotButton="0" quotePrefix="0" xfId="0"/>
    <xf numFmtId="0" fontId="0" fillId="405" borderId="0" pivotButton="0" quotePrefix="0" xfId="0"/>
    <xf numFmtId="0" fontId="0" fillId="406" borderId="0" pivotButton="0" quotePrefix="0" xfId="0"/>
    <xf numFmtId="0" fontId="0" fillId="407" borderId="0" pivotButton="0" quotePrefix="0" xfId="0"/>
    <xf numFmtId="0" fontId="0" fillId="408" borderId="0" pivotButton="0" quotePrefix="0" xfId="0"/>
    <xf numFmtId="0" fontId="0" fillId="409" borderId="0" pivotButton="0" quotePrefix="0" xfId="0"/>
    <xf numFmtId="0" fontId="0" fillId="410" borderId="0" pivotButton="0" quotePrefix="0" xfId="0"/>
    <xf numFmtId="0" fontId="10" fillId="411" borderId="1" pivotButton="0" quotePrefix="0" xfId="0"/>
    <xf numFmtId="0" fontId="10" fillId="412" borderId="1" pivotButton="0" quotePrefix="0" xfId="0"/>
    <xf numFmtId="0" fontId="10" fillId="413" borderId="1" pivotButton="0" quotePrefix="0" xfId="0"/>
    <xf numFmtId="0" fontId="10" fillId="414" borderId="1" pivotButton="0" quotePrefix="0" xfId="0"/>
    <xf numFmtId="0" fontId="10" fillId="417" borderId="1" pivotButton="0" quotePrefix="0" xfId="0"/>
    <xf numFmtId="0" fontId="10" fillId="415" borderId="0" pivotButton="0" quotePrefix="0" xfId="0"/>
    <xf numFmtId="0" fontId="10" fillId="416" borderId="0" pivotButton="0" quotePrefix="0" xfId="0"/>
    <xf numFmtId="0" fontId="0" fillId="411" borderId="0" pivotButton="0" quotePrefix="0" xfId="0"/>
    <xf numFmtId="0" fontId="0" fillId="412" borderId="0" pivotButton="0" quotePrefix="0" xfId="0"/>
    <xf numFmtId="0" fontId="0" fillId="413" borderId="0" pivotButton="0" quotePrefix="0" xfId="0"/>
    <xf numFmtId="0" fontId="0" fillId="414" borderId="0" pivotButton="0" quotePrefix="0" xfId="0"/>
    <xf numFmtId="0" fontId="0" fillId="415" borderId="0" pivotButton="0" quotePrefix="0" xfId="0"/>
    <xf numFmtId="0" fontId="0" fillId="416" borderId="0" pivotButton="0" quotePrefix="0" xfId="0"/>
    <xf numFmtId="0" fontId="0" fillId="417" borderId="0" pivotButton="0" quotePrefix="0" xfId="0"/>
    <xf numFmtId="0" fontId="10" fillId="418" borderId="1" pivotButton="0" quotePrefix="0" xfId="0"/>
    <xf numFmtId="0" fontId="10" fillId="419" borderId="1" pivotButton="0" quotePrefix="0" xfId="0"/>
    <xf numFmtId="0" fontId="10" fillId="420" borderId="1" pivotButton="0" quotePrefix="0" xfId="0"/>
    <xf numFmtId="0" fontId="10" fillId="421" borderId="1" pivotButton="0" quotePrefix="0" xfId="0"/>
    <xf numFmtId="0" fontId="10" fillId="424" borderId="1" pivotButton="0" quotePrefix="0" xfId="0"/>
    <xf numFmtId="0" fontId="10" fillId="422" borderId="0" pivotButton="0" quotePrefix="0" xfId="0"/>
    <xf numFmtId="0" fontId="10" fillId="423" borderId="0" pivotButton="0" quotePrefix="0" xfId="0"/>
    <xf numFmtId="0" fontId="0" fillId="418" borderId="0" pivotButton="0" quotePrefix="0" xfId="0"/>
    <xf numFmtId="0" fontId="0" fillId="419" borderId="0" pivotButton="0" quotePrefix="0" xfId="0"/>
    <xf numFmtId="0" fontId="0" fillId="420" borderId="0" pivotButton="0" quotePrefix="0" xfId="0"/>
    <xf numFmtId="0" fontId="0" fillId="421" borderId="0" pivotButton="0" quotePrefix="0" xfId="0"/>
    <xf numFmtId="0" fontId="0" fillId="422" borderId="0" pivotButton="0" quotePrefix="0" xfId="0"/>
    <xf numFmtId="0" fontId="0" fillId="423" borderId="0" pivotButton="0" quotePrefix="0" xfId="0"/>
    <xf numFmtId="0" fontId="0" fillId="424" borderId="0" pivotButton="0" quotePrefix="0" xfId="0"/>
    <xf numFmtId="0" fontId="10" fillId="425" borderId="1" pivotButton="0" quotePrefix="0" xfId="0"/>
    <xf numFmtId="0" fontId="10" fillId="426" borderId="1" pivotButton="0" quotePrefix="0" xfId="0"/>
    <xf numFmtId="0" fontId="10" fillId="427" borderId="1" pivotButton="0" quotePrefix="0" xfId="0"/>
    <xf numFmtId="0" fontId="10" fillId="428" borderId="1" pivotButton="0" quotePrefix="0" xfId="0"/>
    <xf numFmtId="0" fontId="10" fillId="431" borderId="1" pivotButton="0" quotePrefix="0" xfId="0"/>
    <xf numFmtId="0" fontId="10" fillId="429" borderId="0" pivotButton="0" quotePrefix="0" xfId="0"/>
    <xf numFmtId="0" fontId="10" fillId="430" borderId="0" pivotButton="0" quotePrefix="0" xfId="0"/>
    <xf numFmtId="0" fontId="0" fillId="425" borderId="0" pivotButton="0" quotePrefix="0" xfId="0"/>
    <xf numFmtId="0" fontId="0" fillId="426" borderId="0" pivotButton="0" quotePrefix="0" xfId="0"/>
    <xf numFmtId="0" fontId="0" fillId="427" borderId="0" pivotButton="0" quotePrefix="0" xfId="0"/>
    <xf numFmtId="0" fontId="0" fillId="428" borderId="0" pivotButton="0" quotePrefix="0" xfId="0"/>
    <xf numFmtId="0" fontId="0" fillId="429" borderId="0" pivotButton="0" quotePrefix="0" xfId="0"/>
    <xf numFmtId="0" fontId="0" fillId="430" borderId="0" pivotButton="0" quotePrefix="0" xfId="0"/>
    <xf numFmtId="0" fontId="0" fillId="431" borderId="0" pivotButton="0" quotePrefix="0" xfId="0"/>
    <xf numFmtId="0" fontId="10" fillId="432" borderId="1" pivotButton="0" quotePrefix="0" xfId="0"/>
    <xf numFmtId="0" fontId="10" fillId="433" borderId="1" pivotButton="0" quotePrefix="0" xfId="0"/>
    <xf numFmtId="0" fontId="10" fillId="434" borderId="1" pivotButton="0" quotePrefix="0" xfId="0"/>
    <xf numFmtId="0" fontId="10" fillId="435" borderId="1" pivotButton="0" quotePrefix="0" xfId="0"/>
    <xf numFmtId="0" fontId="10" fillId="438" borderId="1" pivotButton="0" quotePrefix="0" xfId="0"/>
    <xf numFmtId="0" fontId="10" fillId="436" borderId="0" pivotButton="0" quotePrefix="0" xfId="0"/>
    <xf numFmtId="0" fontId="10" fillId="437" borderId="0" pivotButton="0" quotePrefix="0" xfId="0"/>
    <xf numFmtId="0" fontId="0" fillId="432" borderId="0" pivotButton="0" quotePrefix="0" xfId="0"/>
    <xf numFmtId="0" fontId="0" fillId="433" borderId="0" pivotButton="0" quotePrefix="0" xfId="0"/>
    <xf numFmtId="0" fontId="0" fillId="434" borderId="0" pivotButton="0" quotePrefix="0" xfId="0"/>
    <xf numFmtId="0" fontId="0" fillId="435" borderId="0" pivotButton="0" quotePrefix="0" xfId="0"/>
    <xf numFmtId="0" fontId="0" fillId="436" borderId="0" pivotButton="0" quotePrefix="0" xfId="0"/>
    <xf numFmtId="0" fontId="0" fillId="437" borderId="0" pivotButton="0" quotePrefix="0" xfId="0"/>
    <xf numFmtId="0" fontId="0" fillId="438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Absoluta (USD)</a:t>
            </a:r>
          </a:p>
        </rich>
      </tx>
    </title>
    <plotArea>
      <lineChart>
        <grouping val="standard"/>
        <ser>
          <idx val="0"/>
          <order val="0"/>
          <tx>
            <strRef>
              <f>'Tendencia de mis criptos'!B3</f>
            </strRef>
          </tx>
          <spPr>
            <a:ln xmlns:a="http://schemas.openxmlformats.org/drawingml/2006/main">
              <a:solidFill>
                <a:srgbClr val="917AB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criptos'!$A$4:$A$183</f>
            </numRef>
          </cat>
          <val>
            <numRef>
              <f>'Tendencia de mis criptos'!$B$4:$B$183</f>
            </numRef>
          </val>
        </ser>
        <ser>
          <idx val="1"/>
          <order val="1"/>
          <tx>
            <strRef>
              <f>'Tendencia de mis criptos'!C3</f>
            </strRef>
          </tx>
          <spPr>
            <a:ln xmlns:a="http://schemas.openxmlformats.org/drawingml/2006/main">
              <a:solidFill>
                <a:srgbClr val="2ACF9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criptos'!$A$4:$A$183</f>
            </numRef>
          </cat>
          <val>
            <numRef>
              <f>'Tendencia de mis criptos'!$C$4:$C$183</f>
            </numRef>
          </val>
        </ser>
        <ser>
          <idx val="2"/>
          <order val="2"/>
          <tx>
            <strRef>
              <f>'Tendencia de mis criptos'!D3</f>
            </strRef>
          </tx>
          <spPr>
            <a:ln xmlns:a="http://schemas.openxmlformats.org/drawingml/2006/main">
              <a:solidFill>
                <a:srgbClr val="FA301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criptos'!$A$4:$A$183</f>
            </numRef>
          </cat>
          <val>
            <numRef>
              <f>'Tendencia de mis criptos'!$D$4:$D$183</f>
            </numRef>
          </val>
        </ser>
        <ser>
          <idx val="3"/>
          <order val="3"/>
          <tx>
            <strRef>
              <f>'Tendencia de mis criptos'!E3</f>
            </strRef>
          </tx>
          <spPr>
            <a:ln xmlns:a="http://schemas.openxmlformats.org/drawingml/2006/main">
              <a:solidFill>
                <a:srgbClr val="3A5C9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criptos'!$A$4:$A$183</f>
            </numRef>
          </cat>
          <val>
            <numRef>
              <f>'Tendencia de mis criptos'!$E$4:$E$183</f>
            </numRef>
          </val>
        </ser>
        <ser>
          <idx val="4"/>
          <order val="4"/>
          <tx>
            <strRef>
              <f>'Tendencia de mis criptos'!F3</f>
            </strRef>
          </tx>
          <spPr>
            <a:ln xmlns:a="http://schemas.openxmlformats.org/drawingml/2006/main">
              <a:solidFill>
                <a:srgbClr val="69D2E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criptos'!$A$4:$A$183</f>
            </numRef>
          </cat>
          <val>
            <numRef>
              <f>'Tendencia de mis criptos'!$F$4:$F$183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Relativa (Base 100)</a:t>
            </a:r>
          </a:p>
        </rich>
      </tx>
    </title>
    <plotArea>
      <lineChart>
        <grouping val="standard"/>
        <ser>
          <idx val="0"/>
          <order val="0"/>
          <tx>
            <strRef>
              <f>'Tendencia de mis criptos'!B186</f>
            </strRef>
          </tx>
          <spPr>
            <a:ln xmlns:a="http://schemas.openxmlformats.org/drawingml/2006/main">
              <a:solidFill>
                <a:srgbClr val="917AB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criptos'!$A$187:$A$366</f>
            </numRef>
          </cat>
          <val>
            <numRef>
              <f>'Tendencia de mis criptos'!$B$187:$B$366</f>
            </numRef>
          </val>
        </ser>
        <ser>
          <idx val="1"/>
          <order val="1"/>
          <tx>
            <strRef>
              <f>'Tendencia de mis criptos'!C186</f>
            </strRef>
          </tx>
          <spPr>
            <a:ln xmlns:a="http://schemas.openxmlformats.org/drawingml/2006/main">
              <a:solidFill>
                <a:srgbClr val="2ACF9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criptos'!$A$187:$A$366</f>
            </numRef>
          </cat>
          <val>
            <numRef>
              <f>'Tendencia de mis criptos'!$C$187:$C$366</f>
            </numRef>
          </val>
        </ser>
        <ser>
          <idx val="2"/>
          <order val="2"/>
          <tx>
            <strRef>
              <f>'Tendencia de mis criptos'!D186</f>
            </strRef>
          </tx>
          <spPr>
            <a:ln xmlns:a="http://schemas.openxmlformats.org/drawingml/2006/main">
              <a:solidFill>
                <a:srgbClr val="FA301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criptos'!$A$187:$A$366</f>
            </numRef>
          </cat>
          <val>
            <numRef>
              <f>'Tendencia de mis criptos'!$D$187:$D$366</f>
            </numRef>
          </val>
        </ser>
        <ser>
          <idx val="3"/>
          <order val="3"/>
          <tx>
            <strRef>
              <f>'Tendencia de mis criptos'!E186</f>
            </strRef>
          </tx>
          <spPr>
            <a:ln xmlns:a="http://schemas.openxmlformats.org/drawingml/2006/main">
              <a:solidFill>
                <a:srgbClr val="3A5C9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criptos'!$A$187:$A$366</f>
            </numRef>
          </cat>
          <val>
            <numRef>
              <f>'Tendencia de mis criptos'!$E$187:$E$366</f>
            </numRef>
          </val>
        </ser>
        <ser>
          <idx val="4"/>
          <order val="4"/>
          <tx>
            <strRef>
              <f>'Tendencia de mis criptos'!F186</f>
            </strRef>
          </tx>
          <spPr>
            <a:ln xmlns:a="http://schemas.openxmlformats.org/drawingml/2006/main">
              <a:solidFill>
                <a:srgbClr val="69D2E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'Tendencia de mis criptos'!$A$187:$A$366</f>
            </numRef>
          </cat>
          <val>
            <numRef>
              <f>'Tendencia de mis criptos'!$F$187:$F$366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base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://bitcoin.com/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4"/>
    <col width="17.57" customWidth="1" style="31" min="5" max="5"/>
    <col width="11.86" customWidth="1" style="31" min="6" max="6"/>
    <col width="8.710000000000001" customWidth="1" style="31" min="7" max="9"/>
  </cols>
  <sheetData>
    <row r="1">
      <c r="A1" s="1" t="inlineStr">
        <is>
          <t>Fecha de Compra</t>
        </is>
      </c>
      <c r="B1" s="1" t="inlineStr">
        <is>
          <t>Cripto</t>
        </is>
      </c>
      <c r="C1" s="1" t="inlineStr">
        <is>
          <t>Cantidad</t>
        </is>
      </c>
      <c r="D1" s="1" t="inlineStr">
        <is>
          <t>Precio Compra (USD)</t>
        </is>
      </c>
      <c r="E1" s="1" t="inlineStr">
        <is>
          <t>Valor Actual (USD)</t>
        </is>
      </c>
      <c r="F1" s="1" t="inlineStr">
        <is>
          <t>Wallet</t>
        </is>
      </c>
      <c r="G1" s="1" t="inlineStr">
        <is>
          <t>¿Stakeado? (Sí/No)</t>
        </is>
      </c>
      <c r="H1" s="767" t="inlineStr">
        <is>
          <t>Total Crypto</t>
        </is>
      </c>
      <c r="I1" s="767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44793</v>
      </c>
      <c r="B2" s="5" t="inlineStr">
        <is>
          <t>BTC</t>
        </is>
      </c>
      <c r="C2" s="5" t="n">
        <v>0.00464779</v>
      </c>
      <c r="D2" s="5" t="n">
        <v>100</v>
      </c>
      <c r="E2" s="5" t="n">
        <v>21515.61</v>
      </c>
      <c r="F2" s="5" t="inlineStr">
        <is>
          <t>bitcoin.com</t>
        </is>
      </c>
      <c r="G2" s="5" t="inlineStr">
        <is>
          <t>No</t>
        </is>
      </c>
      <c r="H2" s="5">
        <f>SUM(C2:C6)</f>
        <v/>
      </c>
      <c r="I2" s="5">
        <f>SUM(D2:D6)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BTC</t>
        </is>
      </c>
      <c r="C3" s="5" t="n">
        <v>0.00261316</v>
      </c>
      <c r="D3" s="5" t="n">
        <v>310</v>
      </c>
      <c r="E3" s="5" t="n">
        <v>118630.43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45853</v>
      </c>
      <c r="B4" s="5" t="inlineStr">
        <is>
          <t>BTC</t>
        </is>
      </c>
      <c r="C4" s="5" t="n">
        <v>-0.00252886</v>
      </c>
      <c r="D4" s="5" t="n">
        <v>-300</v>
      </c>
      <c r="E4" s="5" t="n">
        <v>118630.43</v>
      </c>
      <c r="F4" s="5" t="inlineStr">
        <is>
          <t>bitcoin.com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BTC</t>
        </is>
      </c>
      <c r="C5" s="3" t="n">
        <v>-0.00016931</v>
      </c>
      <c r="D5" s="3" t="n">
        <v>-20</v>
      </c>
      <c r="E5" s="3" t="n">
        <v>118123.3</v>
      </c>
      <c r="F5" s="3" t="inlineStr">
        <is>
          <t>prex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45936</v>
      </c>
      <c r="B6" s="3" t="inlineStr">
        <is>
          <t>BTC</t>
        </is>
      </c>
      <c r="C6" s="3" t="n">
        <v>-0.00024031</v>
      </c>
      <c r="D6" s="3" t="n">
        <v>-30</v>
      </c>
      <c r="E6" s="3" t="n">
        <v>124837.15</v>
      </c>
      <c r="F6" s="3" t="inlineStr">
        <is>
          <t>prex</t>
        </is>
      </c>
      <c r="G6" s="3" t="inlineStr">
        <is>
          <t>No</t>
        </is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3"/>
    <col width="19.71" customWidth="1" style="31" min="4" max="4"/>
    <col width="23.71" customWidth="1" style="31" min="5" max="5"/>
    <col width="24.14" customWidth="1" style="31" min="6" max="6"/>
    <col width="8.710000000000001" customWidth="1" style="31" min="7" max="9"/>
  </cols>
  <sheetData>
    <row r="1">
      <c r="A1" s="6" t="inlineStr">
        <is>
          <t>Fecha de Compra</t>
        </is>
      </c>
      <c r="B1" s="6" t="inlineStr">
        <is>
          <t>Cripto</t>
        </is>
      </c>
      <c r="C1" s="6" t="inlineStr">
        <is>
          <t>Cantidad</t>
        </is>
      </c>
      <c r="D1" s="6" t="inlineStr">
        <is>
          <t>Precio Compra (USD)</t>
        </is>
      </c>
      <c r="E1" s="6" t="inlineStr">
        <is>
          <t>Valor Actual (USD)</t>
        </is>
      </c>
      <c r="F1" s="6" t="inlineStr">
        <is>
          <t>Wallet</t>
        </is>
      </c>
      <c r="G1" s="6" t="inlineStr">
        <is>
          <t>¿Stakeado? (Sí/No)</t>
        </is>
      </c>
      <c r="H1" s="768" t="inlineStr">
        <is>
          <t>Total Crypto</t>
        </is>
      </c>
      <c r="I1" s="768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45657</v>
      </c>
      <c r="B2" s="5" t="inlineStr">
        <is>
          <t>ETH</t>
        </is>
      </c>
      <c r="C2" s="5" t="n">
        <v>0.02975854</v>
      </c>
      <c r="D2" s="5" t="n">
        <v>100</v>
      </c>
      <c r="E2" s="5" t="n">
        <v>3360.38</v>
      </c>
      <c r="F2" s="5" t="inlineStr">
        <is>
          <t>bitcoin.com</t>
        </is>
      </c>
      <c r="G2" s="5" t="inlineStr">
        <is>
          <t>No</t>
        </is>
      </c>
      <c r="H2" s="5">
        <f>SUM(C2:C10)</f>
        <v/>
      </c>
      <c r="I2" s="5">
        <f>SUM(D2:D10)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ETH</t>
        </is>
      </c>
      <c r="C3" s="5" t="n">
        <v>0.03262788</v>
      </c>
      <c r="D3" s="5" t="n">
        <v>110</v>
      </c>
      <c r="E3" s="5" t="n">
        <v>3371.35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45864</v>
      </c>
      <c r="B4" s="5" t="inlineStr">
        <is>
          <t>ETH</t>
        </is>
      </c>
      <c r="C4" s="5" t="n">
        <v>0.07747734000000001</v>
      </c>
      <c r="D4" s="5" t="n">
        <v>315</v>
      </c>
      <c r="E4" s="5" t="n">
        <v>3872.1</v>
      </c>
      <c r="F4" s="5" t="inlineStr">
        <is>
          <t>binance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45878</v>
      </c>
      <c r="B5" s="5" t="inlineStr">
        <is>
          <t>ETH</t>
        </is>
      </c>
      <c r="C5" s="5" t="n">
        <v>-0.00702807</v>
      </c>
      <c r="D5" s="5" t="n">
        <v>-30</v>
      </c>
      <c r="E5" s="5" t="n">
        <v>4268.6</v>
      </c>
      <c r="F5" s="5" t="inlineStr">
        <is>
          <t>prex</t>
        </is>
      </c>
      <c r="G5" s="5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45878</v>
      </c>
      <c r="B6" s="5" t="inlineStr">
        <is>
          <t>ETH</t>
        </is>
      </c>
      <c r="C6" s="5" t="n">
        <v>-0.009357320000000001</v>
      </c>
      <c r="D6" s="5" t="n">
        <v>-40</v>
      </c>
      <c r="E6" s="5" t="n">
        <v>4274.73</v>
      </c>
      <c r="F6" s="5" t="inlineStr">
        <is>
          <t>binance</t>
        </is>
      </c>
      <c r="G6" s="5" t="inlineStr">
        <is>
          <t>No</t>
        </is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" t="n">
        <v>45883</v>
      </c>
      <c r="B7" s="3" t="inlineStr">
        <is>
          <t>ETH</t>
        </is>
      </c>
      <c r="C7" s="3" t="n">
        <v>-0.0021931</v>
      </c>
      <c r="D7" s="3" t="n">
        <v>-10</v>
      </c>
      <c r="E7" s="3" t="n">
        <v>4559.75</v>
      </c>
      <c r="F7" s="3" t="inlineStr">
        <is>
          <t>prex</t>
        </is>
      </c>
      <c r="G7" s="3" t="inlineStr">
        <is>
          <t>No</t>
        </is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" t="n">
        <v>45883</v>
      </c>
      <c r="B8" s="3" t="inlineStr">
        <is>
          <t>ETH</t>
        </is>
      </c>
      <c r="C8" s="3" t="n">
        <v>-0.01097163</v>
      </c>
      <c r="D8" s="3" t="n">
        <v>-50</v>
      </c>
      <c r="E8" s="3" t="n">
        <v>4557.21</v>
      </c>
      <c r="F8" s="3" t="inlineStr">
        <is>
          <t>binance</t>
        </is>
      </c>
      <c r="G8" s="3" t="inlineStr">
        <is>
          <t>No</t>
        </is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" t="n">
        <v>45918</v>
      </c>
      <c r="B9" s="3" t="inlineStr">
        <is>
          <t>ETH</t>
        </is>
      </c>
      <c r="C9" s="3" t="n">
        <v>-0.00650775</v>
      </c>
      <c r="D9" s="3" t="n">
        <v>-30</v>
      </c>
      <c r="E9" s="3" t="n">
        <v>4609.89</v>
      </c>
      <c r="F9" s="3" t="inlineStr">
        <is>
          <t>binance</t>
        </is>
      </c>
      <c r="G9" s="3" t="inlineStr">
        <is>
          <t>No</t>
        </is>
      </c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" t="n">
        <v>45936</v>
      </c>
      <c r="B10" s="3" t="inlineStr">
        <is>
          <t>ETH</t>
        </is>
      </c>
      <c r="C10" s="3" t="n">
        <v>-0.00961791</v>
      </c>
      <c r="D10" s="3" t="n">
        <v>-45</v>
      </c>
      <c r="E10" s="3" t="n">
        <v>4678.77</v>
      </c>
      <c r="F10" s="3" t="inlineStr">
        <is>
          <t>binance</t>
        </is>
      </c>
      <c r="G10" s="3" t="inlineStr">
        <is>
          <t>No</t>
        </is>
      </c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8" t="inlineStr">
        <is>
          <t>Fecha de Compra</t>
        </is>
      </c>
      <c r="B1" s="8" t="inlineStr">
        <is>
          <t>Cripto</t>
        </is>
      </c>
      <c r="C1" s="8" t="inlineStr">
        <is>
          <t>Cantidad</t>
        </is>
      </c>
      <c r="D1" s="8" t="inlineStr">
        <is>
          <t>Precio Compra (USD)</t>
        </is>
      </c>
      <c r="E1" s="8" t="inlineStr">
        <is>
          <t>Valor Actual (USD)</t>
        </is>
      </c>
      <c r="F1" s="8" t="inlineStr">
        <is>
          <t>Wallet</t>
        </is>
      </c>
      <c r="G1" s="8" t="inlineStr">
        <is>
          <t>¿Stakeado? (Sí/No)</t>
        </is>
      </c>
      <c r="H1" s="769" t="inlineStr">
        <is>
          <t>Total Crypto</t>
        </is>
      </c>
      <c r="I1" s="769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SUM(C2:C5)</f>
        <v/>
      </c>
      <c r="I2" s="5">
        <f>SUM(D2:D5)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45853</v>
      </c>
      <c r="B3" s="5" t="inlineStr">
        <is>
          <t>SOL</t>
        </is>
      </c>
      <c r="C3" s="5" t="n">
        <v>0.46074987</v>
      </c>
      <c r="D3" s="5" t="n">
        <v>80</v>
      </c>
      <c r="E3" s="5" t="n">
        <v>173.63</v>
      </c>
      <c r="F3" s="5" t="inlineStr">
        <is>
          <t>prex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45864</v>
      </c>
      <c r="B4" s="5" t="inlineStr">
        <is>
          <t>SOL</t>
        </is>
      </c>
      <c r="C4" s="5" t="n">
        <v>0.42408821</v>
      </c>
      <c r="D4" s="5" t="n">
        <v>84</v>
      </c>
      <c r="E4" s="5" t="n">
        <v>188.64</v>
      </c>
      <c r="F4" s="5" t="inlineStr">
        <is>
          <t>binance</t>
        </is>
      </c>
      <c r="G4" s="5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SOL</t>
        </is>
      </c>
      <c r="C5" s="3" t="n">
        <v>-0.15387772</v>
      </c>
      <c r="D5" s="3" t="n">
        <v>-30</v>
      </c>
      <c r="E5" s="3" t="n">
        <v>194.96</v>
      </c>
      <c r="F5" s="3" t="inlineStr">
        <is>
          <t>binance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0" t="inlineStr">
        <is>
          <t>Fecha de Compra</t>
        </is>
      </c>
      <c r="B1" s="10" t="inlineStr">
        <is>
          <t>Cripto</t>
        </is>
      </c>
      <c r="C1" s="10" t="inlineStr">
        <is>
          <t>Cantidad</t>
        </is>
      </c>
      <c r="D1" s="10" t="inlineStr">
        <is>
          <t>Precio Compra (USD)</t>
        </is>
      </c>
      <c r="E1" s="10" t="inlineStr">
        <is>
          <t>Valor Actual (USD)</t>
        </is>
      </c>
      <c r="F1" s="10" t="inlineStr">
        <is>
          <t>Wallet</t>
        </is>
      </c>
      <c r="G1" s="10" t="inlineStr">
        <is>
          <t>¿Stakeado? (Sí/No)</t>
        </is>
      </c>
      <c r="H1" s="770" t="inlineStr">
        <is>
          <t>Total Crypto</t>
        </is>
      </c>
      <c r="I1" s="770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>
        <v>45051</v>
      </c>
      <c r="B2" s="5" t="inlineStr">
        <is>
          <t>BCH</t>
        </is>
      </c>
      <c r="C2" s="5" t="n">
        <v>0.06837607</v>
      </c>
      <c r="D2" s="5" t="n">
        <v>8</v>
      </c>
      <c r="E2" s="5" t="n">
        <v>117</v>
      </c>
      <c r="F2" s="5" t="inlineStr">
        <is>
          <t>bitcoin.com</t>
        </is>
      </c>
      <c r="G2" s="5" t="inlineStr">
        <is>
          <t>No</t>
        </is>
      </c>
      <c r="H2" s="5">
        <f>SUM(C2:C3)</f>
        <v/>
      </c>
      <c r="I2" s="5">
        <f>SUM(D2:D3)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45880</v>
      </c>
      <c r="B3" s="3" t="inlineStr">
        <is>
          <t>BCH</t>
        </is>
      </c>
      <c r="C3" s="3" t="n">
        <v>0.17241379</v>
      </c>
      <c r="D3" s="3" t="n">
        <v>100</v>
      </c>
      <c r="E3" s="3" t="n">
        <v>580</v>
      </c>
      <c r="F3" s="3" t="inlineStr">
        <is>
          <t>bitcoin.com</t>
        </is>
      </c>
      <c r="G3" s="3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2" t="inlineStr">
        <is>
          <t>Fecha de Compra</t>
        </is>
      </c>
      <c r="B1" s="12" t="inlineStr">
        <is>
          <t>Cripto</t>
        </is>
      </c>
      <c r="C1" s="12" t="inlineStr">
        <is>
          <t>Cantidad</t>
        </is>
      </c>
      <c r="D1" s="12" t="inlineStr">
        <is>
          <t>Precio Compra (USD)</t>
        </is>
      </c>
      <c r="E1" s="12" t="inlineStr">
        <is>
          <t>Valor Actual (USD)</t>
        </is>
      </c>
      <c r="F1" s="12" t="inlineStr">
        <is>
          <t>Wallet</t>
        </is>
      </c>
      <c r="G1" s="12" t="inlineStr">
        <is>
          <t>¿Stakeado? (Sí/No)</t>
        </is>
      </c>
      <c r="H1" s="771" t="inlineStr">
        <is>
          <t>Total Crypto</t>
        </is>
      </c>
      <c r="I1" s="771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SUM(C2:C8)</f>
        <v/>
      </c>
      <c r="I2" s="5">
        <f>SUM(D2:D8)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45864</v>
      </c>
      <c r="B3" s="5" t="inlineStr">
        <is>
          <t>USDT</t>
        </is>
      </c>
      <c r="C3" s="5" t="n">
        <v>100</v>
      </c>
      <c r="D3" s="5" t="n">
        <v>105</v>
      </c>
      <c r="E3" s="5" t="n">
        <v>1</v>
      </c>
      <c r="F3" s="5" t="inlineStr">
        <is>
          <t>binance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" t="n">
        <v>45879</v>
      </c>
      <c r="B4" s="3" t="inlineStr">
        <is>
          <t>USDT</t>
        </is>
      </c>
      <c r="C4" s="3" t="n">
        <v>-100</v>
      </c>
      <c r="D4" s="3" t="n">
        <v>-100</v>
      </c>
      <c r="E4" s="3" t="n">
        <v>1</v>
      </c>
      <c r="F4" s="3" t="inlineStr">
        <is>
          <t>binance</t>
        </is>
      </c>
      <c r="G4" s="3" t="inlineStr">
        <is>
          <t>No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" t="n">
        <v>45883</v>
      </c>
      <c r="B5" s="3" t="inlineStr">
        <is>
          <t>USDT</t>
        </is>
      </c>
      <c r="C5" s="3" t="n">
        <v>80</v>
      </c>
      <c r="D5" s="3" t="n">
        <v>80</v>
      </c>
      <c r="E5" s="3" t="n">
        <v>1</v>
      </c>
      <c r="F5" s="3" t="inlineStr">
        <is>
          <t>binance</t>
        </is>
      </c>
      <c r="G5" s="3" t="inlineStr">
        <is>
          <t>No</t>
        </is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" t="n">
        <v>45918</v>
      </c>
      <c r="B6" s="3" t="inlineStr">
        <is>
          <t>USDT</t>
        </is>
      </c>
      <c r="C6" s="3" t="n">
        <v>30</v>
      </c>
      <c r="D6" s="3" t="n">
        <v>30</v>
      </c>
      <c r="E6" s="3" t="n">
        <v>1</v>
      </c>
      <c r="F6" s="3" t="inlineStr">
        <is>
          <t>binance</t>
        </is>
      </c>
      <c r="G6" s="3" t="inlineStr">
        <is>
          <t>No</t>
        </is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" t="n">
        <v>45936</v>
      </c>
      <c r="B7" s="3" t="inlineStr">
        <is>
          <t>USDT</t>
        </is>
      </c>
      <c r="C7" s="3" t="n">
        <v>45</v>
      </c>
      <c r="D7" s="3" t="n">
        <v>45</v>
      </c>
      <c r="E7" s="3" t="n">
        <v>1</v>
      </c>
      <c r="F7" s="3" t="inlineStr">
        <is>
          <t>binance</t>
        </is>
      </c>
      <c r="G7" s="3" t="inlineStr">
        <is>
          <t>No</t>
        </is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" t="n">
        <v>46092</v>
      </c>
      <c r="B8" s="3" t="inlineStr">
        <is>
          <t>USDT</t>
        </is>
      </c>
      <c r="C8" s="3" t="n">
        <v>-155</v>
      </c>
      <c r="D8" s="3" t="n">
        <v>-155</v>
      </c>
      <c r="E8" s="3" t="n">
        <v>1</v>
      </c>
      <c r="F8" s="3" t="inlineStr">
        <is>
          <t>binance</t>
        </is>
      </c>
      <c r="G8" s="3" t="inlineStr">
        <is>
          <t>No</t>
        </is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1" min="1" max="9"/>
  </cols>
  <sheetData>
    <row r="1">
      <c r="A1" s="14" t="inlineStr">
        <is>
          <t>Fecha de Compra</t>
        </is>
      </c>
      <c r="B1" s="14" t="inlineStr">
        <is>
          <t>Cripto</t>
        </is>
      </c>
      <c r="C1" s="14" t="inlineStr">
        <is>
          <t>Cantidad</t>
        </is>
      </c>
      <c r="D1" s="14" t="inlineStr">
        <is>
          <t>Precio Compra (USD)</t>
        </is>
      </c>
      <c r="E1" s="14" t="inlineStr">
        <is>
          <t>Valor Actual (USD)</t>
        </is>
      </c>
      <c r="F1" s="14" t="inlineStr">
        <is>
          <t>Wallet</t>
        </is>
      </c>
      <c r="G1" s="14" t="inlineStr">
        <is>
          <t>¿Stakeado? (Sí/No)</t>
        </is>
      </c>
      <c r="H1" s="772" t="inlineStr">
        <is>
          <t>Total Crypto</t>
        </is>
      </c>
      <c r="I1" s="772" t="inlineStr">
        <is>
          <t>Total USD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5">
        <f>SUM(C2:C3)</f>
        <v/>
      </c>
      <c r="I2" s="5">
        <f>SUM(D2:D3)</f>
        <v/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" t="n">
        <v>45879</v>
      </c>
      <c r="B3" s="5" t="inlineStr">
        <is>
          <t>BNB</t>
        </is>
      </c>
      <c r="C3" s="5" t="n">
        <v>0.12421434</v>
      </c>
      <c r="D3" s="5" t="n">
        <v>100</v>
      </c>
      <c r="E3" s="5" t="n">
        <v>805.0599999999999</v>
      </c>
      <c r="F3" s="5" t="inlineStr">
        <is>
          <t>binance</t>
        </is>
      </c>
      <c r="G3" s="5" t="inlineStr">
        <is>
          <t>No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1" min="1" max="6"/>
  </cols>
  <sheetData>
    <row r="1">
      <c r="A1" s="16" t="inlineStr">
        <is>
          <t>Fecha</t>
        </is>
      </c>
      <c r="B1" s="16" t="inlineStr">
        <is>
          <t>BTC (U$S)</t>
        </is>
      </c>
      <c r="C1" s="16" t="inlineStr">
        <is>
          <t>ETH (U$S)</t>
        </is>
      </c>
      <c r="D1" s="16" t="inlineStr">
        <is>
          <t>SOL (U$S)</t>
        </is>
      </c>
      <c r="E1" s="16" t="inlineStr">
        <is>
          <t>USDT</t>
        </is>
      </c>
      <c r="F1" s="16" t="inlineStr">
        <is>
          <t>Wallet</t>
        </is>
      </c>
      <c r="H1" s="16" t="inlineStr">
        <is>
          <t>Total</t>
        </is>
      </c>
      <c r="I1" s="17">
        <f>SUM(B2:C52)</f>
        <v/>
      </c>
    </row>
    <row r="2">
      <c r="A2" s="18" t="n">
        <v>45853</v>
      </c>
      <c r="B2" s="5" t="n">
        <v>300</v>
      </c>
      <c r="C2" s="3" t="n"/>
      <c r="D2" s="3" t="n"/>
      <c r="E2" s="3" t="n"/>
      <c r="F2" s="19" t="inlineStr">
        <is>
          <t>bitcoin.com</t>
        </is>
      </c>
    </row>
    <row r="3">
      <c r="A3" s="18" t="n">
        <v>45878</v>
      </c>
      <c r="B3" s="3" t="n"/>
      <c r="C3" s="5" t="n">
        <v>30</v>
      </c>
      <c r="D3" s="3" t="n"/>
      <c r="E3" s="3" t="n"/>
      <c r="F3" s="5" t="inlineStr">
        <is>
          <t>prex</t>
        </is>
      </c>
    </row>
    <row r="4">
      <c r="A4" s="20" t="n">
        <v>45881</v>
      </c>
      <c r="B4" s="3" t="n">
        <v>20</v>
      </c>
      <c r="C4" s="3" t="n">
        <v>10</v>
      </c>
      <c r="D4" s="3" t="n"/>
      <c r="E4" s="3" t="n"/>
      <c r="F4" s="3" t="inlineStr">
        <is>
          <t>prex</t>
        </is>
      </c>
    </row>
    <row r="5">
      <c r="A5" s="20" t="n">
        <v>45881</v>
      </c>
      <c r="B5" s="3" t="n"/>
      <c r="C5" s="3" t="n"/>
      <c r="D5" s="3" t="n"/>
      <c r="E5" s="3" t="n"/>
      <c r="F5" s="3" t="n"/>
    </row>
    <row r="6">
      <c r="A6" s="21" t="n"/>
      <c r="B6" s="3" t="n"/>
      <c r="C6" s="3" t="n"/>
      <c r="D6" s="3" t="n"/>
      <c r="E6" s="3" t="n"/>
      <c r="F6" s="3" t="n"/>
    </row>
    <row r="7">
      <c r="A7" s="21" t="n"/>
      <c r="B7" s="3" t="n"/>
      <c r="C7" s="3" t="n"/>
      <c r="D7" s="3" t="n"/>
      <c r="E7" s="3" t="n"/>
      <c r="F7" s="3" t="n"/>
    </row>
    <row r="8">
      <c r="A8" s="21" t="n"/>
      <c r="B8" s="3" t="n"/>
      <c r="C8" s="3" t="n"/>
      <c r="D8" s="3" t="n"/>
      <c r="E8" s="3" t="n"/>
      <c r="F8" s="3" t="n"/>
    </row>
    <row r="9">
      <c r="A9" s="21" t="n"/>
      <c r="B9" s="3" t="n"/>
      <c r="C9" s="3" t="n"/>
      <c r="D9" s="3" t="n"/>
      <c r="E9" s="3" t="n"/>
      <c r="F9" s="3" t="n"/>
    </row>
    <row r="10">
      <c r="A10" s="21" t="n"/>
      <c r="B10" s="3" t="n"/>
      <c r="C10" s="3" t="n"/>
      <c r="D10" s="3" t="n"/>
      <c r="E10" s="3" t="n"/>
      <c r="F10" s="3" t="n"/>
    </row>
    <row r="11">
      <c r="A11" s="21" t="n"/>
      <c r="B11" s="3" t="n"/>
      <c r="C11" s="3" t="n"/>
      <c r="D11" s="3" t="n"/>
      <c r="E11" s="3" t="n"/>
      <c r="F11" s="3" t="n"/>
    </row>
    <row r="12">
      <c r="A12" s="21" t="n"/>
      <c r="B12" s="3" t="n"/>
      <c r="C12" s="3" t="n"/>
      <c r="D12" s="3" t="n"/>
      <c r="E12" s="3" t="n"/>
      <c r="F12" s="3" t="n"/>
    </row>
    <row r="13">
      <c r="A13" s="21" t="n"/>
      <c r="B13" s="3" t="n"/>
      <c r="C13" s="3" t="n"/>
      <c r="D13" s="3" t="n"/>
      <c r="E13" s="3" t="n"/>
      <c r="F13" s="3" t="n"/>
    </row>
    <row r="14">
      <c r="A14" s="21" t="n"/>
      <c r="B14" s="3" t="n"/>
      <c r="C14" s="3" t="n"/>
      <c r="D14" s="3" t="n"/>
      <c r="E14" s="3" t="n"/>
      <c r="F14" s="3" t="n"/>
    </row>
    <row r="15">
      <c r="A15" s="21" t="n"/>
      <c r="B15" s="3" t="n"/>
      <c r="C15" s="3" t="n"/>
      <c r="D15" s="3" t="n"/>
      <c r="E15" s="3" t="n"/>
      <c r="F15" s="3" t="n"/>
    </row>
    <row r="16">
      <c r="A16" s="21" t="n"/>
      <c r="B16" s="3" t="n"/>
      <c r="C16" s="3" t="n"/>
      <c r="D16" s="3" t="n"/>
      <c r="E16" s="3" t="n"/>
      <c r="F16" s="3" t="n"/>
    </row>
    <row r="17">
      <c r="A17" s="21" t="n"/>
      <c r="B17" s="3" t="n"/>
      <c r="C17" s="3" t="n"/>
      <c r="D17" s="3" t="n"/>
      <c r="E17" s="3" t="n"/>
      <c r="F17" s="3" t="n"/>
    </row>
    <row r="18">
      <c r="A18" s="21" t="n"/>
      <c r="B18" s="3" t="n"/>
      <c r="C18" s="3" t="n"/>
      <c r="D18" s="3" t="n"/>
      <c r="E18" s="3" t="n"/>
      <c r="F18" s="3" t="n"/>
    </row>
    <row r="19" ht="15.75" customHeight="1" s="31">
      <c r="A19" s="21" t="n"/>
      <c r="B19" s="3" t="n"/>
      <c r="C19" s="3" t="n"/>
      <c r="D19" s="3" t="n"/>
      <c r="E19" s="3" t="n"/>
      <c r="F19" s="3" t="n"/>
    </row>
    <row r="20" ht="15.75" customHeight="1" s="31">
      <c r="A20" s="21" t="n"/>
      <c r="B20" s="3" t="n"/>
      <c r="C20" s="3" t="n"/>
      <c r="D20" s="3" t="n"/>
      <c r="E20" s="3" t="n"/>
      <c r="F20" s="3" t="n"/>
    </row>
    <row r="21" ht="15.75" customHeight="1" s="31">
      <c r="A21" s="21" t="n"/>
      <c r="B21" s="3" t="n"/>
      <c r="C21" s="3" t="n"/>
      <c r="D21" s="3" t="n"/>
      <c r="E21" s="3" t="n"/>
      <c r="F21" s="3" t="n"/>
    </row>
    <row r="22" ht="15.75" customHeight="1" s="31">
      <c r="A22" s="21" t="n"/>
      <c r="B22" s="3" t="n"/>
      <c r="C22" s="3" t="n"/>
      <c r="D22" s="3" t="n"/>
      <c r="E22" s="3" t="n"/>
      <c r="F22" s="3" t="n"/>
    </row>
    <row r="23" ht="15.75" customHeight="1" s="31">
      <c r="A23" s="21" t="n"/>
      <c r="B23" s="3" t="n"/>
      <c r="C23" s="3" t="n"/>
      <c r="D23" s="3" t="n"/>
      <c r="E23" s="3" t="n"/>
      <c r="F23" s="3" t="n"/>
    </row>
    <row r="24" ht="15.75" customHeight="1" s="31">
      <c r="A24" s="21" t="n"/>
      <c r="B24" s="3" t="n"/>
      <c r="C24" s="3" t="n"/>
      <c r="D24" s="3" t="n"/>
      <c r="E24" s="3" t="n"/>
      <c r="F24" s="3" t="n"/>
    </row>
    <row r="25" ht="15.75" customHeight="1" s="31">
      <c r="A25" s="21" t="n"/>
      <c r="B25" s="3" t="n"/>
      <c r="C25" s="3" t="n"/>
      <c r="D25" s="3" t="n"/>
      <c r="E25" s="3" t="n"/>
      <c r="F25" s="3" t="n"/>
    </row>
    <row r="26" ht="15.75" customHeight="1" s="31">
      <c r="A26" s="21" t="n"/>
      <c r="B26" s="3" t="n"/>
      <c r="C26" s="3" t="n"/>
      <c r="D26" s="3" t="n"/>
      <c r="E26" s="3" t="n"/>
      <c r="F26" s="3" t="n"/>
    </row>
    <row r="27" ht="15.75" customHeight="1" s="31">
      <c r="A27" s="21" t="n"/>
      <c r="B27" s="3" t="n"/>
      <c r="C27" s="3" t="n"/>
      <c r="D27" s="3" t="n"/>
      <c r="E27" s="3" t="n"/>
      <c r="F27" s="3" t="n"/>
    </row>
    <row r="28" ht="15.75" customHeight="1" s="31">
      <c r="A28" s="21" t="n"/>
      <c r="B28" s="3" t="n"/>
      <c r="C28" s="3" t="n"/>
      <c r="D28" s="3" t="n"/>
      <c r="E28" s="3" t="n"/>
      <c r="F28" s="3" t="n"/>
    </row>
    <row r="29" ht="15.75" customHeight="1" s="31">
      <c r="A29" s="21" t="n"/>
      <c r="B29" s="3" t="n"/>
      <c r="C29" s="3" t="n"/>
      <c r="D29" s="3" t="n"/>
      <c r="E29" s="3" t="n"/>
      <c r="F29" s="3" t="n"/>
    </row>
    <row r="30" ht="15.75" customHeight="1" s="31">
      <c r="A30" s="21" t="n"/>
      <c r="B30" s="3" t="n"/>
      <c r="C30" s="3" t="n"/>
      <c r="D30" s="3" t="n"/>
      <c r="E30" s="3" t="n"/>
      <c r="F30" s="3" t="n"/>
    </row>
    <row r="31" ht="15.75" customHeight="1" s="31">
      <c r="A31" s="21" t="n"/>
      <c r="B31" s="3" t="n"/>
      <c r="C31" s="3" t="n"/>
      <c r="D31" s="3" t="n"/>
      <c r="E31" s="3" t="n"/>
      <c r="F31" s="3" t="n"/>
    </row>
    <row r="32" ht="15.75" customHeight="1" s="31">
      <c r="A32" s="21" t="n"/>
      <c r="B32" s="3" t="n"/>
      <c r="C32" s="3" t="n"/>
      <c r="D32" s="3" t="n"/>
      <c r="E32" s="3" t="n"/>
      <c r="F32" s="3" t="n"/>
    </row>
    <row r="33" ht="15.75" customHeight="1" s="31">
      <c r="A33" s="3" t="n"/>
      <c r="B33" s="3" t="n"/>
      <c r="C33" s="3" t="n"/>
      <c r="D33" s="3" t="n"/>
      <c r="E33" s="3" t="n"/>
      <c r="F33" s="3" t="n"/>
    </row>
    <row r="34" ht="15.75" customHeight="1" s="31">
      <c r="A34" s="3" t="n"/>
      <c r="B34" s="3" t="n"/>
      <c r="C34" s="3" t="n"/>
      <c r="D34" s="3" t="n"/>
      <c r="E34" s="3" t="n"/>
      <c r="F34" s="3" t="n"/>
    </row>
    <row r="35" ht="15.75" customHeight="1" s="31">
      <c r="A35" s="3" t="n"/>
      <c r="B35" s="3" t="n"/>
      <c r="C35" s="3" t="n"/>
      <c r="D35" s="3" t="n"/>
      <c r="E35" s="3" t="n"/>
      <c r="F35" s="3" t="n"/>
    </row>
    <row r="36" ht="15.75" customHeight="1" s="31">
      <c r="A36" s="3" t="n"/>
      <c r="B36" s="3" t="n"/>
      <c r="C36" s="3" t="n"/>
      <c r="D36" s="3" t="n"/>
      <c r="E36" s="3" t="n"/>
      <c r="F36" s="3" t="n"/>
    </row>
    <row r="37" ht="15.75" customHeight="1" s="31">
      <c r="A37" s="3" t="n"/>
      <c r="B37" s="3" t="n"/>
      <c r="C37" s="3" t="n"/>
      <c r="D37" s="3" t="n"/>
      <c r="E37" s="3" t="n"/>
      <c r="F37" s="3" t="n"/>
    </row>
    <row r="38" ht="15.75" customHeight="1" s="31">
      <c r="A38" s="3" t="n"/>
      <c r="B38" s="3" t="n"/>
      <c r="C38" s="3" t="n"/>
      <c r="D38" s="3" t="n"/>
      <c r="E38" s="3" t="n"/>
      <c r="F38" s="3" t="n"/>
    </row>
    <row r="39" ht="15.75" customHeight="1" s="31">
      <c r="A39" s="3" t="n"/>
      <c r="B39" s="3" t="n"/>
      <c r="C39" s="3" t="n"/>
      <c r="D39" s="3" t="n"/>
      <c r="E39" s="3" t="n"/>
      <c r="F39" s="3" t="n"/>
    </row>
    <row r="40" ht="15.75" customHeight="1" s="31">
      <c r="A40" s="3" t="n"/>
      <c r="B40" s="3" t="n"/>
      <c r="C40" s="3" t="n"/>
      <c r="D40" s="3" t="n"/>
      <c r="E40" s="3" t="n"/>
      <c r="F40" s="3" t="n"/>
    </row>
    <row r="41" ht="15.75" customHeight="1" s="31">
      <c r="A41" s="3" t="n"/>
      <c r="B41" s="3" t="n"/>
      <c r="C41" s="3" t="n"/>
      <c r="D41" s="3" t="n"/>
      <c r="E41" s="3" t="n"/>
      <c r="F41" s="3" t="n"/>
    </row>
    <row r="42" ht="15.75" customHeight="1" s="31">
      <c r="A42" s="3" t="n"/>
      <c r="B42" s="3" t="n"/>
      <c r="C42" s="3" t="n"/>
      <c r="D42" s="3" t="n"/>
      <c r="E42" s="3" t="n"/>
      <c r="F42" s="3" t="n"/>
    </row>
    <row r="43" ht="15.75" customHeight="1" s="31">
      <c r="A43" s="3" t="n"/>
      <c r="B43" s="3" t="n"/>
      <c r="C43" s="3" t="n"/>
      <c r="D43" s="3" t="n"/>
      <c r="E43" s="3" t="n"/>
      <c r="F43" s="3" t="n"/>
    </row>
    <row r="44" ht="15.75" customHeight="1" s="31">
      <c r="A44" s="3" t="n"/>
      <c r="B44" s="3" t="n"/>
      <c r="C44" s="3" t="n"/>
      <c r="D44" s="3" t="n"/>
      <c r="E44" s="3" t="n"/>
      <c r="F44" s="3" t="n"/>
    </row>
    <row r="45" ht="15.75" customHeight="1" s="31">
      <c r="A45" s="3" t="n"/>
      <c r="B45" s="3" t="n"/>
      <c r="C45" s="3" t="n"/>
      <c r="D45" s="3" t="n"/>
      <c r="E45" s="3" t="n"/>
      <c r="F45" s="3" t="n"/>
    </row>
    <row r="46" ht="15.75" customHeight="1" s="31">
      <c r="A46" s="3" t="n"/>
      <c r="B46" s="3" t="n"/>
      <c r="C46" s="3" t="n"/>
      <c r="D46" s="3" t="n"/>
      <c r="E46" s="3" t="n"/>
      <c r="F46" s="3" t="n"/>
    </row>
    <row r="47" ht="15.75" customHeight="1" s="31">
      <c r="A47" s="3" t="n"/>
      <c r="B47" s="3" t="n"/>
      <c r="C47" s="3" t="n"/>
      <c r="D47" s="3" t="n"/>
      <c r="E47" s="3" t="n"/>
      <c r="F47" s="3" t="n"/>
    </row>
    <row r="48" ht="15.75" customHeight="1" s="31">
      <c r="A48" s="3" t="n"/>
      <c r="B48" s="3" t="n"/>
      <c r="C48" s="3" t="n"/>
      <c r="D48" s="3" t="n"/>
      <c r="E48" s="3" t="n"/>
      <c r="F48" s="3" t="n"/>
    </row>
    <row r="49" ht="15.75" customHeight="1" s="31">
      <c r="A49" s="3" t="n"/>
      <c r="B49" s="3" t="n"/>
      <c r="C49" s="3" t="n"/>
      <c r="D49" s="3" t="n"/>
      <c r="E49" s="3" t="n"/>
      <c r="F49" s="3" t="n"/>
    </row>
    <row r="50" ht="15.75" customHeight="1" s="31">
      <c r="A50" s="3" t="n"/>
      <c r="B50" s="3" t="n"/>
      <c r="C50" s="3" t="n"/>
      <c r="D50" s="3" t="n"/>
      <c r="E50" s="3" t="n"/>
      <c r="F50" s="3" t="n"/>
    </row>
    <row r="51" ht="15.75" customHeight="1" s="31">
      <c r="A51" s="3" t="n"/>
      <c r="B51" s="3" t="n"/>
      <c r="C51" s="3" t="n"/>
      <c r="D51" s="3" t="n"/>
      <c r="E51" s="3" t="n"/>
      <c r="F51" s="3" t="n"/>
    </row>
    <row r="52" ht="15.75" customHeight="1" s="31">
      <c r="A52" s="3" t="n"/>
      <c r="B52" s="3" t="n"/>
      <c r="C52" s="3" t="n"/>
      <c r="D52" s="3" t="n"/>
      <c r="E52" s="3" t="n"/>
      <c r="F52" s="3" t="n"/>
    </row>
    <row r="53" ht="15.75" customHeight="1" s="31">
      <c r="A53" s="3" t="n"/>
      <c r="B53" s="3" t="n"/>
      <c r="C53" s="3" t="n"/>
      <c r="D53" s="3" t="n"/>
      <c r="E53" s="3" t="n"/>
      <c r="F53" s="3" t="n"/>
    </row>
    <row r="54" ht="15.75" customHeight="1" s="31">
      <c r="A54" s="3" t="n"/>
      <c r="B54" s="3" t="n"/>
      <c r="C54" s="3" t="n"/>
      <c r="D54" s="3" t="n"/>
      <c r="E54" s="3" t="n"/>
      <c r="F54" s="3" t="n"/>
    </row>
    <row r="55" ht="15.75" customHeight="1" s="31">
      <c r="A55" s="3" t="n"/>
      <c r="B55" s="3" t="n"/>
      <c r="C55" s="3" t="n"/>
      <c r="D55" s="3" t="n"/>
      <c r="E55" s="3" t="n"/>
      <c r="F55" s="3" t="n"/>
    </row>
    <row r="56" ht="15.75" customHeight="1" s="31">
      <c r="A56" s="3" t="n"/>
      <c r="B56" s="3" t="n"/>
      <c r="C56" s="3" t="n"/>
      <c r="D56" s="3" t="n"/>
      <c r="E56" s="3" t="n"/>
      <c r="F56" s="3" t="n"/>
    </row>
    <row r="57" ht="15.75" customHeight="1" s="31">
      <c r="A57" s="3" t="n"/>
      <c r="B57" s="3" t="n"/>
      <c r="C57" s="3" t="n"/>
      <c r="D57" s="3" t="n"/>
      <c r="E57" s="3" t="n"/>
      <c r="F57" s="3" t="n"/>
    </row>
    <row r="58" ht="15.75" customHeight="1" s="31">
      <c r="A58" s="3" t="n"/>
      <c r="B58" s="3" t="n"/>
      <c r="C58" s="3" t="n"/>
      <c r="D58" s="3" t="n"/>
      <c r="E58" s="3" t="n"/>
      <c r="F58" s="3" t="n"/>
    </row>
    <row r="59" ht="15.75" customHeight="1" s="31">
      <c r="A59" s="3" t="n"/>
      <c r="B59" s="3" t="n"/>
      <c r="C59" s="3" t="n"/>
      <c r="D59" s="3" t="n"/>
      <c r="E59" s="3" t="n"/>
      <c r="F59" s="3" t="n"/>
    </row>
    <row r="60" ht="15.75" customHeight="1" s="31">
      <c r="A60" s="3" t="n"/>
      <c r="B60" s="3" t="n"/>
      <c r="C60" s="3" t="n"/>
      <c r="D60" s="3" t="n"/>
      <c r="E60" s="3" t="n"/>
      <c r="F60" s="3" t="n"/>
    </row>
    <row r="61" ht="15.75" customHeight="1" s="31">
      <c r="A61" s="3" t="n"/>
      <c r="B61" s="3" t="n"/>
      <c r="C61" s="3" t="n"/>
      <c r="D61" s="3" t="n"/>
      <c r="E61" s="3" t="n"/>
      <c r="F61" s="3" t="n"/>
    </row>
    <row r="62" ht="15.75" customHeight="1" s="31">
      <c r="A62" s="3" t="n"/>
      <c r="B62" s="3" t="n"/>
      <c r="C62" s="3" t="n"/>
      <c r="D62" s="3" t="n"/>
      <c r="E62" s="3" t="n"/>
      <c r="F62" s="3" t="n"/>
    </row>
    <row r="63" ht="15.75" customHeight="1" s="31">
      <c r="A63" s="3" t="n"/>
      <c r="B63" s="3" t="n"/>
      <c r="C63" s="3" t="n"/>
      <c r="D63" s="3" t="n"/>
      <c r="E63" s="3" t="n"/>
      <c r="F63" s="3" t="n"/>
    </row>
    <row r="64" ht="15.75" customHeight="1" s="31">
      <c r="A64" s="3" t="n"/>
      <c r="B64" s="3" t="n"/>
      <c r="C64" s="3" t="n"/>
      <c r="D64" s="3" t="n"/>
      <c r="E64" s="3" t="n"/>
      <c r="F64" s="3" t="n"/>
    </row>
    <row r="65" ht="15.75" customHeight="1" s="31">
      <c r="A65" s="3" t="n"/>
      <c r="B65" s="3" t="n"/>
      <c r="C65" s="3" t="n"/>
      <c r="D65" s="3" t="n"/>
      <c r="E65" s="3" t="n"/>
      <c r="F65" s="3" t="n"/>
    </row>
    <row r="66" ht="15.75" customHeight="1" s="31">
      <c r="A66" s="3" t="n"/>
      <c r="B66" s="3" t="n"/>
      <c r="C66" s="3" t="n"/>
      <c r="D66" s="3" t="n"/>
      <c r="E66" s="3" t="n"/>
      <c r="F66" s="3" t="n"/>
    </row>
    <row r="67" ht="15.75" customHeight="1" s="31">
      <c r="A67" s="3" t="n"/>
      <c r="B67" s="3" t="n"/>
      <c r="C67" s="3" t="n"/>
      <c r="D67" s="3" t="n"/>
      <c r="E67" s="3" t="n"/>
      <c r="F67" s="3" t="n"/>
    </row>
    <row r="68" ht="15.75" customHeight="1" s="31">
      <c r="A68" s="3" t="n"/>
      <c r="B68" s="3" t="n"/>
      <c r="C68" s="3" t="n"/>
      <c r="D68" s="3" t="n"/>
      <c r="E68" s="3" t="n"/>
      <c r="F68" s="3" t="n"/>
    </row>
    <row r="69" ht="15.75" customHeight="1" s="31">
      <c r="A69" s="3" t="n"/>
      <c r="B69" s="3" t="n"/>
      <c r="C69" s="3" t="n"/>
      <c r="D69" s="3" t="n"/>
      <c r="E69" s="3" t="n"/>
      <c r="F69" s="3" t="n"/>
    </row>
    <row r="70" ht="15.75" customHeight="1" s="31">
      <c r="A70" s="3" t="n"/>
      <c r="B70" s="3" t="n"/>
      <c r="C70" s="3" t="n"/>
      <c r="D70" s="3" t="n"/>
      <c r="E70" s="3" t="n"/>
      <c r="F70" s="3" t="n"/>
    </row>
    <row r="71" ht="15.75" customHeight="1" s="31">
      <c r="A71" s="3" t="n"/>
      <c r="B71" s="3" t="n"/>
      <c r="C71" s="3" t="n"/>
      <c r="D71" s="3" t="n"/>
      <c r="E71" s="3" t="n"/>
      <c r="F71" s="3" t="n"/>
    </row>
    <row r="72" ht="15.75" customHeight="1" s="31">
      <c r="A72" s="3" t="n"/>
      <c r="B72" s="3" t="n"/>
      <c r="C72" s="3" t="n"/>
      <c r="D72" s="3" t="n"/>
      <c r="E72" s="3" t="n"/>
      <c r="F72" s="3" t="n"/>
    </row>
    <row r="73" ht="15.75" customHeight="1" s="31">
      <c r="A73" s="3" t="n"/>
      <c r="B73" s="3" t="n"/>
      <c r="C73" s="3" t="n"/>
      <c r="D73" s="3" t="n"/>
      <c r="E73" s="3" t="n"/>
      <c r="F73" s="3" t="n"/>
    </row>
    <row r="74" ht="15.75" customHeight="1" s="31">
      <c r="A74" s="3" t="n"/>
      <c r="B74" s="3" t="n"/>
      <c r="C74" s="3" t="n"/>
      <c r="D74" s="3" t="n"/>
      <c r="E74" s="3" t="n"/>
      <c r="F74" s="3" t="n"/>
    </row>
    <row r="75" ht="15.75" customHeight="1" s="31">
      <c r="A75" s="3" t="n"/>
      <c r="B75" s="3" t="n"/>
      <c r="C75" s="3" t="n"/>
      <c r="D75" s="3" t="n"/>
      <c r="E75" s="3" t="n"/>
      <c r="F75" s="3" t="n"/>
    </row>
    <row r="76" ht="15.75" customHeight="1" s="31">
      <c r="A76" s="3" t="n"/>
      <c r="B76" s="3" t="n"/>
      <c r="C76" s="3" t="n"/>
      <c r="D76" s="3" t="n"/>
      <c r="E76" s="3" t="n"/>
      <c r="F76" s="3" t="n"/>
    </row>
    <row r="77" ht="15.75" customHeight="1" s="31">
      <c r="A77" s="3" t="n"/>
      <c r="B77" s="3" t="n"/>
      <c r="C77" s="3" t="n"/>
      <c r="D77" s="3" t="n"/>
      <c r="E77" s="3" t="n"/>
      <c r="F77" s="3" t="n"/>
    </row>
    <row r="78" ht="15.75" customHeight="1" s="31">
      <c r="A78" s="3" t="n"/>
      <c r="B78" s="3" t="n"/>
      <c r="C78" s="3" t="n"/>
      <c r="D78" s="3" t="n"/>
      <c r="E78" s="3" t="n"/>
      <c r="F78" s="3" t="n"/>
    </row>
    <row r="79" ht="15.75" customHeight="1" s="31">
      <c r="A79" s="3" t="n"/>
      <c r="B79" s="3" t="n"/>
      <c r="C79" s="3" t="n"/>
      <c r="D79" s="3" t="n"/>
      <c r="E79" s="3" t="n"/>
      <c r="F79" s="3" t="n"/>
    </row>
    <row r="80" ht="15.75" customHeight="1" s="31">
      <c r="A80" s="3" t="n"/>
      <c r="B80" s="3" t="n"/>
      <c r="C80" s="3" t="n"/>
      <c r="D80" s="3" t="n"/>
      <c r="E80" s="3" t="n"/>
      <c r="F80" s="3" t="n"/>
    </row>
    <row r="81" ht="15.75" customHeight="1" s="31">
      <c r="A81" s="3" t="n"/>
      <c r="B81" s="3" t="n"/>
      <c r="C81" s="3" t="n"/>
      <c r="D81" s="3" t="n"/>
      <c r="E81" s="3" t="n"/>
      <c r="F81" s="3" t="n"/>
    </row>
    <row r="82" ht="15.75" customHeight="1" s="31">
      <c r="A82" s="3" t="n"/>
      <c r="B82" s="3" t="n"/>
      <c r="C82" s="3" t="n"/>
      <c r="D82" s="3" t="n"/>
      <c r="E82" s="3" t="n"/>
      <c r="F82" s="3" t="n"/>
    </row>
    <row r="83" ht="15.75" customHeight="1" s="31">
      <c r="A83" s="3" t="n"/>
      <c r="B83" s="3" t="n"/>
      <c r="C83" s="3" t="n"/>
      <c r="D83" s="3" t="n"/>
      <c r="E83" s="3" t="n"/>
      <c r="F83" s="3" t="n"/>
    </row>
    <row r="84" ht="15.75" customHeight="1" s="31">
      <c r="A84" s="3" t="n"/>
      <c r="B84" s="3" t="n"/>
      <c r="C84" s="3" t="n"/>
      <c r="D84" s="3" t="n"/>
      <c r="E84" s="3" t="n"/>
      <c r="F84" s="3" t="n"/>
    </row>
    <row r="85" ht="15.75" customHeight="1" s="31">
      <c r="A85" s="3" t="n"/>
      <c r="B85" s="3" t="n"/>
      <c r="C85" s="3" t="n"/>
      <c r="D85" s="3" t="n"/>
      <c r="E85" s="3" t="n"/>
      <c r="F85" s="3" t="n"/>
    </row>
    <row r="86" ht="15.75" customHeight="1" s="31">
      <c r="A86" s="3" t="n"/>
      <c r="B86" s="3" t="n"/>
      <c r="C86" s="3" t="n"/>
      <c r="D86" s="3" t="n"/>
      <c r="E86" s="3" t="n"/>
      <c r="F86" s="3" t="n"/>
    </row>
    <row r="87" ht="15.75" customHeight="1" s="31">
      <c r="A87" s="3" t="n"/>
      <c r="B87" s="3" t="n"/>
      <c r="C87" s="3" t="n"/>
      <c r="D87" s="3" t="n"/>
      <c r="E87" s="3" t="n"/>
      <c r="F87" s="3" t="n"/>
    </row>
    <row r="88" ht="15.75" customHeight="1" s="31">
      <c r="A88" s="3" t="n"/>
      <c r="B88" s="3" t="n"/>
      <c r="C88" s="3" t="n"/>
      <c r="D88" s="3" t="n"/>
      <c r="E88" s="3" t="n"/>
      <c r="F88" s="3" t="n"/>
    </row>
    <row r="89" ht="15.75" customHeight="1" s="31">
      <c r="A89" s="3" t="n"/>
      <c r="B89" s="3" t="n"/>
      <c r="C89" s="3" t="n"/>
      <c r="D89" s="3" t="n"/>
      <c r="E89" s="3" t="n"/>
      <c r="F89" s="3" t="n"/>
    </row>
    <row r="90" ht="15.75" customHeight="1" s="31">
      <c r="A90" s="3" t="n"/>
      <c r="B90" s="3" t="n"/>
      <c r="C90" s="3" t="n"/>
      <c r="D90" s="3" t="n"/>
      <c r="E90" s="3" t="n"/>
      <c r="F90" s="3" t="n"/>
    </row>
    <row r="91" ht="15.75" customHeight="1" s="31">
      <c r="A91" s="3" t="n"/>
      <c r="B91" s="3" t="n"/>
      <c r="C91" s="3" t="n"/>
      <c r="D91" s="3" t="n"/>
      <c r="E91" s="3" t="n"/>
      <c r="F91" s="3" t="n"/>
    </row>
    <row r="92" ht="15.75" customHeight="1" s="31">
      <c r="A92" s="3" t="n"/>
      <c r="B92" s="3" t="n"/>
      <c r="C92" s="3" t="n"/>
      <c r="D92" s="3" t="n"/>
      <c r="E92" s="3" t="n"/>
      <c r="F92" s="3" t="n"/>
    </row>
    <row r="93" ht="15.75" customHeight="1" s="31">
      <c r="A93" s="3" t="n"/>
      <c r="B93" s="3" t="n"/>
      <c r="C93" s="3" t="n"/>
      <c r="D93" s="3" t="n"/>
      <c r="E93" s="3" t="n"/>
      <c r="F93" s="3" t="n"/>
    </row>
    <row r="94" ht="15.75" customHeight="1" s="31">
      <c r="A94" s="3" t="n"/>
      <c r="B94" s="3" t="n"/>
      <c r="C94" s="3" t="n"/>
      <c r="D94" s="3" t="n"/>
      <c r="E94" s="3" t="n"/>
      <c r="F94" s="3" t="n"/>
    </row>
    <row r="95" ht="15.75" customHeight="1" s="31">
      <c r="A95" s="3" t="n"/>
      <c r="B95" s="3" t="n"/>
      <c r="C95" s="3" t="n"/>
      <c r="D95" s="3" t="n"/>
      <c r="E95" s="3" t="n"/>
      <c r="F95" s="3" t="n"/>
    </row>
    <row r="96" ht="15.75" customHeight="1" s="31">
      <c r="A96" s="3" t="n"/>
      <c r="B96" s="3" t="n"/>
      <c r="C96" s="3" t="n"/>
      <c r="D96" s="3" t="n"/>
      <c r="E96" s="3" t="n"/>
      <c r="F96" s="3" t="n"/>
    </row>
    <row r="97" ht="15.75" customHeight="1" s="31">
      <c r="A97" s="3" t="n"/>
      <c r="B97" s="3" t="n"/>
      <c r="C97" s="3" t="n"/>
      <c r="D97" s="3" t="n"/>
      <c r="E97" s="3" t="n"/>
      <c r="F97" s="3" t="n"/>
    </row>
    <row r="98" ht="15.75" customHeight="1" s="31">
      <c r="A98" s="3" t="n"/>
      <c r="B98" s="3" t="n"/>
      <c r="C98" s="3" t="n"/>
      <c r="D98" s="3" t="n"/>
      <c r="E98" s="3" t="n"/>
      <c r="F98" s="3" t="n"/>
    </row>
    <row r="99" ht="15.75" customHeight="1" s="31">
      <c r="A99" s="3" t="n"/>
      <c r="B99" s="3" t="n"/>
      <c r="C99" s="3" t="n"/>
      <c r="D99" s="3" t="n"/>
      <c r="E99" s="3" t="n"/>
      <c r="F99" s="3" t="n"/>
    </row>
    <row r="100" ht="15.75" customHeight="1" s="31">
      <c r="A100" s="3" t="n"/>
      <c r="B100" s="3" t="n"/>
      <c r="C100" s="3" t="n"/>
      <c r="D100" s="3" t="n"/>
      <c r="E100" s="3" t="n"/>
      <c r="F100" s="3" t="n"/>
    </row>
    <row r="101" ht="15.75" customHeight="1" s="31">
      <c r="A101" s="3" t="n"/>
      <c r="B101" s="3" t="n"/>
      <c r="C101" s="3" t="n"/>
      <c r="D101" s="3" t="n"/>
      <c r="E101" s="3" t="n"/>
      <c r="F101" s="3" t="n"/>
    </row>
    <row r="102" ht="15.75" customHeight="1" s="31">
      <c r="A102" s="3" t="n"/>
      <c r="B102" s="3" t="n"/>
      <c r="C102" s="3" t="n"/>
      <c r="D102" s="3" t="n"/>
      <c r="E102" s="3" t="n"/>
      <c r="F102" s="3" t="n"/>
    </row>
    <row r="103" ht="15.75" customHeight="1" s="31">
      <c r="A103" s="3" t="n"/>
      <c r="B103" s="3" t="n"/>
      <c r="C103" s="3" t="n"/>
      <c r="D103" s="3" t="n"/>
      <c r="E103" s="3" t="n"/>
      <c r="F103" s="3" t="n"/>
    </row>
    <row r="104" ht="15.75" customHeight="1" s="31">
      <c r="A104" s="3" t="n"/>
      <c r="B104" s="3" t="n"/>
      <c r="C104" s="3" t="n"/>
      <c r="D104" s="3" t="n"/>
      <c r="E104" s="3" t="n"/>
      <c r="F104" s="3" t="n"/>
    </row>
    <row r="105" ht="15.75" customHeight="1" s="31">
      <c r="A105" s="3" t="n"/>
      <c r="B105" s="3" t="n"/>
      <c r="C105" s="3" t="n"/>
      <c r="D105" s="3" t="n"/>
      <c r="E105" s="3" t="n"/>
      <c r="F105" s="3" t="n"/>
    </row>
    <row r="106" ht="15.75" customHeight="1" s="31">
      <c r="A106" s="3" t="n"/>
      <c r="B106" s="3" t="n"/>
      <c r="C106" s="3" t="n"/>
      <c r="D106" s="3" t="n"/>
      <c r="E106" s="3" t="n"/>
      <c r="F106" s="3" t="n"/>
    </row>
    <row r="107" ht="15.75" customHeight="1" s="31">
      <c r="A107" s="3" t="n"/>
      <c r="B107" s="3" t="n"/>
      <c r="C107" s="3" t="n"/>
      <c r="D107" s="3" t="n"/>
      <c r="E107" s="3" t="n"/>
      <c r="F107" s="3" t="n"/>
    </row>
    <row r="108" ht="15.75" customHeight="1" s="31">
      <c r="A108" s="3" t="n"/>
      <c r="B108" s="3" t="n"/>
      <c r="C108" s="3" t="n"/>
      <c r="D108" s="3" t="n"/>
      <c r="E108" s="3" t="n"/>
      <c r="F108" s="3" t="n"/>
    </row>
    <row r="109" ht="15.75" customHeight="1" s="31">
      <c r="A109" s="3" t="n"/>
      <c r="B109" s="3" t="n"/>
      <c r="C109" s="3" t="n"/>
      <c r="D109" s="3" t="n"/>
      <c r="E109" s="3" t="n"/>
      <c r="F109" s="3" t="n"/>
    </row>
    <row r="110" ht="15.75" customHeight="1" s="31">
      <c r="A110" s="3" t="n"/>
      <c r="B110" s="3" t="n"/>
      <c r="C110" s="3" t="n"/>
      <c r="D110" s="3" t="n"/>
      <c r="E110" s="3" t="n"/>
      <c r="F110" s="3" t="n"/>
    </row>
    <row r="111" ht="15.75" customHeight="1" s="31">
      <c r="A111" s="3" t="n"/>
      <c r="B111" s="3" t="n"/>
      <c r="C111" s="3" t="n"/>
      <c r="D111" s="3" t="n"/>
      <c r="E111" s="3" t="n"/>
      <c r="F111" s="3" t="n"/>
    </row>
    <row r="112" ht="15.75" customHeight="1" s="31">
      <c r="A112" s="3" t="n"/>
      <c r="B112" s="3" t="n"/>
      <c r="C112" s="3" t="n"/>
      <c r="D112" s="3" t="n"/>
      <c r="E112" s="3" t="n"/>
      <c r="F112" s="3" t="n"/>
    </row>
    <row r="113" ht="15.75" customHeight="1" s="31">
      <c r="A113" s="3" t="n"/>
      <c r="B113" s="3" t="n"/>
      <c r="C113" s="3" t="n"/>
      <c r="D113" s="3" t="n"/>
      <c r="E113" s="3" t="n"/>
      <c r="F113" s="3" t="n"/>
    </row>
    <row r="114" ht="15.75" customHeight="1" s="31">
      <c r="A114" s="3" t="n"/>
      <c r="B114" s="3" t="n"/>
      <c r="C114" s="3" t="n"/>
      <c r="D114" s="3" t="n"/>
      <c r="E114" s="3" t="n"/>
      <c r="F114" s="3" t="n"/>
    </row>
    <row r="115" ht="15.75" customHeight="1" s="31">
      <c r="A115" s="3" t="n"/>
      <c r="B115" s="3" t="n"/>
      <c r="C115" s="3" t="n"/>
      <c r="D115" s="3" t="n"/>
      <c r="E115" s="3" t="n"/>
      <c r="F115" s="3" t="n"/>
    </row>
    <row r="116" ht="15.75" customHeight="1" s="31">
      <c r="A116" s="3" t="n"/>
      <c r="B116" s="3" t="n"/>
      <c r="C116" s="3" t="n"/>
      <c r="D116" s="3" t="n"/>
      <c r="E116" s="3" t="n"/>
      <c r="F116" s="3" t="n"/>
    </row>
    <row r="117" ht="15.75" customHeight="1" s="31">
      <c r="A117" s="3" t="n"/>
      <c r="B117" s="3" t="n"/>
      <c r="C117" s="3" t="n"/>
      <c r="D117" s="3" t="n"/>
      <c r="E117" s="3" t="n"/>
      <c r="F117" s="3" t="n"/>
    </row>
    <row r="118" ht="15.75" customHeight="1" s="31">
      <c r="A118" s="3" t="n"/>
      <c r="B118" s="3" t="n"/>
      <c r="C118" s="3" t="n"/>
      <c r="D118" s="3" t="n"/>
      <c r="E118" s="3" t="n"/>
      <c r="F118" s="3" t="n"/>
    </row>
    <row r="119" ht="15.75" customHeight="1" s="31">
      <c r="A119" s="3" t="n"/>
      <c r="B119" s="3" t="n"/>
      <c r="C119" s="3" t="n"/>
      <c r="D119" s="3" t="n"/>
      <c r="E119" s="3" t="n"/>
      <c r="F119" s="3" t="n"/>
    </row>
    <row r="120" ht="15.75" customHeight="1" s="31">
      <c r="A120" s="3" t="n"/>
      <c r="B120" s="3" t="n"/>
      <c r="C120" s="3" t="n"/>
      <c r="D120" s="3" t="n"/>
      <c r="E120" s="3" t="n"/>
      <c r="F120" s="3" t="n"/>
    </row>
    <row r="121" ht="15.75" customHeight="1" s="31">
      <c r="A121" s="3" t="n"/>
      <c r="B121" s="3" t="n"/>
      <c r="C121" s="3" t="n"/>
      <c r="D121" s="3" t="n"/>
      <c r="E121" s="3" t="n"/>
      <c r="F121" s="3" t="n"/>
    </row>
    <row r="122" ht="15.75" customHeight="1" s="31">
      <c r="A122" s="3" t="n"/>
      <c r="B122" s="3" t="n"/>
      <c r="C122" s="3" t="n"/>
      <c r="D122" s="3" t="n"/>
      <c r="E122" s="3" t="n"/>
      <c r="F122" s="3" t="n"/>
    </row>
    <row r="123" ht="15.75" customHeight="1" s="31">
      <c r="A123" s="3" t="n"/>
      <c r="B123" s="3" t="n"/>
      <c r="C123" s="3" t="n"/>
      <c r="D123" s="3" t="n"/>
      <c r="E123" s="3" t="n"/>
      <c r="F123" s="3" t="n"/>
    </row>
    <row r="124" ht="15.75" customHeight="1" s="31">
      <c r="A124" s="3" t="n"/>
      <c r="B124" s="3" t="n"/>
      <c r="C124" s="3" t="n"/>
      <c r="D124" s="3" t="n"/>
      <c r="E124" s="3" t="n"/>
      <c r="F124" s="3" t="n"/>
    </row>
    <row r="125" ht="15.75" customHeight="1" s="31">
      <c r="A125" s="3" t="n"/>
      <c r="B125" s="3" t="n"/>
      <c r="C125" s="3" t="n"/>
      <c r="D125" s="3" t="n"/>
      <c r="E125" s="3" t="n"/>
      <c r="F125" s="3" t="n"/>
    </row>
    <row r="126" ht="15.75" customHeight="1" s="31">
      <c r="A126" s="3" t="n"/>
      <c r="B126" s="3" t="n"/>
      <c r="C126" s="3" t="n"/>
      <c r="D126" s="3" t="n"/>
      <c r="E126" s="3" t="n"/>
      <c r="F126" s="3" t="n"/>
    </row>
    <row r="127" ht="15.75" customHeight="1" s="31">
      <c r="A127" s="3" t="n"/>
      <c r="B127" s="3" t="n"/>
      <c r="C127" s="3" t="n"/>
      <c r="D127" s="3" t="n"/>
      <c r="E127" s="3" t="n"/>
      <c r="F127" s="3" t="n"/>
    </row>
    <row r="128" ht="15.75" customHeight="1" s="31">
      <c r="A128" s="3" t="n"/>
      <c r="B128" s="3" t="n"/>
      <c r="C128" s="3" t="n"/>
      <c r="D128" s="3" t="n"/>
      <c r="E128" s="3" t="n"/>
      <c r="F128" s="3" t="n"/>
    </row>
    <row r="129" ht="15.75" customHeight="1" s="31">
      <c r="A129" s="3" t="n"/>
      <c r="B129" s="3" t="n"/>
      <c r="C129" s="3" t="n"/>
      <c r="D129" s="3" t="n"/>
      <c r="E129" s="3" t="n"/>
      <c r="F129" s="3" t="n"/>
    </row>
    <row r="130" ht="15.75" customHeight="1" s="31">
      <c r="A130" s="3" t="n"/>
      <c r="B130" s="3" t="n"/>
      <c r="C130" s="3" t="n"/>
      <c r="D130" s="3" t="n"/>
      <c r="E130" s="3" t="n"/>
      <c r="F130" s="3" t="n"/>
    </row>
    <row r="131" ht="15.75" customHeight="1" s="31">
      <c r="A131" s="3" t="n"/>
      <c r="B131" s="3" t="n"/>
      <c r="C131" s="3" t="n"/>
      <c r="D131" s="3" t="n"/>
      <c r="E131" s="3" t="n"/>
      <c r="F131" s="3" t="n"/>
    </row>
    <row r="132" ht="15.75" customHeight="1" s="31">
      <c r="A132" s="3" t="n"/>
      <c r="B132" s="3" t="n"/>
      <c r="C132" s="3" t="n"/>
      <c r="D132" s="3" t="n"/>
      <c r="E132" s="3" t="n"/>
      <c r="F132" s="3" t="n"/>
    </row>
    <row r="133" ht="15.75" customHeight="1" s="31">
      <c r="A133" s="3" t="n"/>
      <c r="B133" s="3" t="n"/>
      <c r="C133" s="3" t="n"/>
      <c r="D133" s="3" t="n"/>
      <c r="E133" s="3" t="n"/>
      <c r="F133" s="3" t="n"/>
    </row>
    <row r="134" ht="15.75" customHeight="1" s="31">
      <c r="A134" s="3" t="n"/>
      <c r="B134" s="3" t="n"/>
      <c r="C134" s="3" t="n"/>
      <c r="D134" s="3" t="n"/>
      <c r="E134" s="3" t="n"/>
      <c r="F134" s="3" t="n"/>
    </row>
    <row r="135" ht="15.75" customHeight="1" s="31">
      <c r="A135" s="3" t="n"/>
      <c r="B135" s="3" t="n"/>
      <c r="C135" s="3" t="n"/>
      <c r="D135" s="3" t="n"/>
      <c r="E135" s="3" t="n"/>
      <c r="F135" s="3" t="n"/>
    </row>
    <row r="136" ht="15.75" customHeight="1" s="31">
      <c r="A136" s="3" t="n"/>
      <c r="B136" s="3" t="n"/>
      <c r="C136" s="3" t="n"/>
      <c r="D136" s="3" t="n"/>
      <c r="E136" s="3" t="n"/>
      <c r="F136" s="3" t="n"/>
    </row>
    <row r="137" ht="15.75" customHeight="1" s="31">
      <c r="A137" s="3" t="n"/>
      <c r="B137" s="3" t="n"/>
      <c r="C137" s="3" t="n"/>
      <c r="D137" s="3" t="n"/>
      <c r="E137" s="3" t="n"/>
      <c r="F137" s="3" t="n"/>
    </row>
    <row r="138" ht="15.75" customHeight="1" s="31">
      <c r="A138" s="3" t="n"/>
      <c r="B138" s="3" t="n"/>
      <c r="C138" s="3" t="n"/>
      <c r="D138" s="3" t="n"/>
      <c r="E138" s="3" t="n"/>
      <c r="F138" s="3" t="n"/>
    </row>
    <row r="139" ht="15.75" customHeight="1" s="31">
      <c r="A139" s="3" t="n"/>
      <c r="B139" s="3" t="n"/>
      <c r="C139" s="3" t="n"/>
      <c r="D139" s="3" t="n"/>
      <c r="E139" s="3" t="n"/>
      <c r="F139" s="3" t="n"/>
    </row>
    <row r="140" ht="15.75" customHeight="1" s="31">
      <c r="A140" s="3" t="n"/>
      <c r="B140" s="3" t="n"/>
      <c r="C140" s="3" t="n"/>
      <c r="D140" s="3" t="n"/>
      <c r="E140" s="3" t="n"/>
      <c r="F140" s="3" t="n"/>
    </row>
    <row r="141" ht="15.75" customHeight="1" s="31">
      <c r="A141" s="3" t="n"/>
      <c r="B141" s="3" t="n"/>
      <c r="C141" s="3" t="n"/>
      <c r="D141" s="3" t="n"/>
      <c r="E141" s="3" t="n"/>
      <c r="F141" s="3" t="n"/>
    </row>
    <row r="142" ht="15.75" customHeight="1" s="31">
      <c r="A142" s="3" t="n"/>
      <c r="B142" s="3" t="n"/>
      <c r="C142" s="3" t="n"/>
      <c r="D142" s="3" t="n"/>
      <c r="E142" s="3" t="n"/>
      <c r="F142" s="3" t="n"/>
    </row>
    <row r="143" ht="15.75" customHeight="1" s="31">
      <c r="A143" s="3" t="n"/>
      <c r="B143" s="3" t="n"/>
      <c r="C143" s="3" t="n"/>
      <c r="D143" s="3" t="n"/>
      <c r="E143" s="3" t="n"/>
      <c r="F143" s="3" t="n"/>
    </row>
    <row r="144" ht="15.75" customHeight="1" s="31">
      <c r="A144" s="3" t="n"/>
      <c r="B144" s="3" t="n"/>
      <c r="C144" s="3" t="n"/>
      <c r="D144" s="3" t="n"/>
      <c r="E144" s="3" t="n"/>
      <c r="F144" s="3" t="n"/>
    </row>
    <row r="145" ht="15.75" customHeight="1" s="31">
      <c r="A145" s="3" t="n"/>
      <c r="B145" s="3" t="n"/>
      <c r="C145" s="3" t="n"/>
      <c r="D145" s="3" t="n"/>
      <c r="E145" s="3" t="n"/>
      <c r="F145" s="3" t="n"/>
    </row>
    <row r="146" ht="15.75" customHeight="1" s="31">
      <c r="A146" s="3" t="n"/>
      <c r="B146" s="3" t="n"/>
      <c r="C146" s="3" t="n"/>
      <c r="D146" s="3" t="n"/>
      <c r="E146" s="3" t="n"/>
      <c r="F146" s="3" t="n"/>
    </row>
    <row r="147" ht="15.75" customHeight="1" s="31">
      <c r="A147" s="3" t="n"/>
      <c r="B147" s="3" t="n"/>
      <c r="C147" s="3" t="n"/>
      <c r="D147" s="3" t="n"/>
      <c r="E147" s="3" t="n"/>
      <c r="F147" s="3" t="n"/>
    </row>
    <row r="148" ht="15.75" customHeight="1" s="31">
      <c r="A148" s="3" t="n"/>
      <c r="B148" s="3" t="n"/>
      <c r="C148" s="3" t="n"/>
      <c r="D148" s="3" t="n"/>
      <c r="E148" s="3" t="n"/>
      <c r="F148" s="3" t="n"/>
    </row>
    <row r="149" ht="15.75" customHeight="1" s="31">
      <c r="A149" s="3" t="n"/>
      <c r="B149" s="3" t="n"/>
      <c r="C149" s="3" t="n"/>
      <c r="D149" s="3" t="n"/>
      <c r="E149" s="3" t="n"/>
      <c r="F149" s="3" t="n"/>
    </row>
    <row r="150" ht="15.75" customHeight="1" s="31">
      <c r="A150" s="3" t="n"/>
      <c r="B150" s="3" t="n"/>
      <c r="C150" s="3" t="n"/>
      <c r="D150" s="3" t="n"/>
      <c r="E150" s="3" t="n"/>
      <c r="F150" s="3" t="n"/>
    </row>
    <row r="151" ht="15.75" customHeight="1" s="31">
      <c r="A151" s="3" t="n"/>
      <c r="B151" s="3" t="n"/>
      <c r="C151" s="3" t="n"/>
      <c r="D151" s="3" t="n"/>
      <c r="E151" s="3" t="n"/>
      <c r="F151" s="3" t="n"/>
    </row>
    <row r="152" ht="15.75" customHeight="1" s="31">
      <c r="A152" s="3" t="n"/>
      <c r="B152" s="3" t="n"/>
      <c r="C152" s="3" t="n"/>
      <c r="D152" s="3" t="n"/>
      <c r="E152" s="3" t="n"/>
      <c r="F152" s="3" t="n"/>
    </row>
    <row r="153" ht="15.75" customHeight="1" s="31">
      <c r="A153" s="3" t="n"/>
      <c r="B153" s="3" t="n"/>
      <c r="C153" s="3" t="n"/>
      <c r="D153" s="3" t="n"/>
      <c r="E153" s="3" t="n"/>
      <c r="F153" s="3" t="n"/>
    </row>
    <row r="154" ht="15.75" customHeight="1" s="31">
      <c r="A154" s="3" t="n"/>
      <c r="B154" s="3" t="n"/>
      <c r="C154" s="3" t="n"/>
      <c r="D154" s="3" t="n"/>
      <c r="E154" s="3" t="n"/>
      <c r="F154" s="3" t="n"/>
    </row>
    <row r="155" ht="15.75" customHeight="1" s="31">
      <c r="A155" s="3" t="n"/>
      <c r="B155" s="3" t="n"/>
      <c r="C155" s="3" t="n"/>
      <c r="D155" s="3" t="n"/>
      <c r="E155" s="3" t="n"/>
      <c r="F155" s="3" t="n"/>
    </row>
    <row r="156" ht="15.75" customHeight="1" s="31">
      <c r="A156" s="3" t="n"/>
      <c r="B156" s="3" t="n"/>
      <c r="C156" s="3" t="n"/>
      <c r="D156" s="3" t="n"/>
      <c r="E156" s="3" t="n"/>
      <c r="F156" s="3" t="n"/>
    </row>
    <row r="157" ht="15.75" customHeight="1" s="31">
      <c r="A157" s="3" t="n"/>
      <c r="B157" s="3" t="n"/>
      <c r="C157" s="3" t="n"/>
      <c r="D157" s="3" t="n"/>
      <c r="E157" s="3" t="n"/>
      <c r="F157" s="3" t="n"/>
    </row>
    <row r="158" ht="15.75" customHeight="1" s="31">
      <c r="A158" s="3" t="n"/>
      <c r="B158" s="3" t="n"/>
      <c r="C158" s="3" t="n"/>
      <c r="D158" s="3" t="n"/>
      <c r="E158" s="3" t="n"/>
      <c r="F158" s="3" t="n"/>
    </row>
    <row r="159" ht="15.75" customHeight="1" s="31">
      <c r="A159" s="3" t="n"/>
      <c r="B159" s="3" t="n"/>
      <c r="C159" s="3" t="n"/>
      <c r="D159" s="3" t="n"/>
      <c r="E159" s="3" t="n"/>
      <c r="F159" s="3" t="n"/>
    </row>
    <row r="160" ht="15.75" customHeight="1" s="31">
      <c r="A160" s="3" t="n"/>
      <c r="B160" s="3" t="n"/>
      <c r="C160" s="3" t="n"/>
      <c r="D160" s="3" t="n"/>
      <c r="E160" s="3" t="n"/>
      <c r="F160" s="3" t="n"/>
    </row>
    <row r="161" ht="15.75" customHeight="1" s="31">
      <c r="A161" s="3" t="n"/>
      <c r="B161" s="3" t="n"/>
      <c r="C161" s="3" t="n"/>
      <c r="D161" s="3" t="n"/>
      <c r="E161" s="3" t="n"/>
      <c r="F161" s="3" t="n"/>
    </row>
    <row r="162" ht="15.75" customHeight="1" s="31">
      <c r="A162" s="3" t="n"/>
      <c r="B162" s="3" t="n"/>
      <c r="C162" s="3" t="n"/>
      <c r="D162" s="3" t="n"/>
      <c r="E162" s="3" t="n"/>
      <c r="F162" s="3" t="n"/>
    </row>
    <row r="163" ht="15.75" customHeight="1" s="31">
      <c r="A163" s="3" t="n"/>
      <c r="B163" s="3" t="n"/>
      <c r="C163" s="3" t="n"/>
      <c r="D163" s="3" t="n"/>
      <c r="E163" s="3" t="n"/>
      <c r="F163" s="3" t="n"/>
    </row>
    <row r="164" ht="15.75" customHeight="1" s="31">
      <c r="A164" s="3" t="n"/>
      <c r="B164" s="3" t="n"/>
      <c r="C164" s="3" t="n"/>
      <c r="D164" s="3" t="n"/>
      <c r="E164" s="3" t="n"/>
      <c r="F164" s="3" t="n"/>
    </row>
    <row r="165" ht="15.75" customHeight="1" s="31">
      <c r="A165" s="3" t="n"/>
      <c r="B165" s="3" t="n"/>
      <c r="C165" s="3" t="n"/>
      <c r="D165" s="3" t="n"/>
      <c r="E165" s="3" t="n"/>
      <c r="F165" s="3" t="n"/>
    </row>
    <row r="166" ht="15.75" customHeight="1" s="31">
      <c r="A166" s="3" t="n"/>
      <c r="B166" s="3" t="n"/>
      <c r="C166" s="3" t="n"/>
      <c r="D166" s="3" t="n"/>
      <c r="E166" s="3" t="n"/>
      <c r="F166" s="3" t="n"/>
    </row>
    <row r="167" ht="15.75" customHeight="1" s="31">
      <c r="A167" s="3" t="n"/>
      <c r="B167" s="3" t="n"/>
      <c r="C167" s="3" t="n"/>
      <c r="D167" s="3" t="n"/>
      <c r="E167" s="3" t="n"/>
      <c r="F167" s="3" t="n"/>
    </row>
    <row r="168" ht="15.75" customHeight="1" s="31">
      <c r="A168" s="3" t="n"/>
      <c r="B168" s="3" t="n"/>
      <c r="C168" s="3" t="n"/>
      <c r="D168" s="3" t="n"/>
      <c r="E168" s="3" t="n"/>
      <c r="F168" s="3" t="n"/>
    </row>
    <row r="169" ht="15.75" customHeight="1" s="31">
      <c r="A169" s="3" t="n"/>
      <c r="B169" s="3" t="n"/>
      <c r="C169" s="3" t="n"/>
      <c r="D169" s="3" t="n"/>
      <c r="E169" s="3" t="n"/>
      <c r="F169" s="3" t="n"/>
    </row>
    <row r="170" ht="15.75" customHeight="1" s="31">
      <c r="A170" s="3" t="n"/>
      <c r="B170" s="3" t="n"/>
      <c r="C170" s="3" t="n"/>
      <c r="D170" s="3" t="n"/>
      <c r="E170" s="3" t="n"/>
      <c r="F170" s="3" t="n"/>
    </row>
    <row r="171" ht="15.75" customHeight="1" s="31">
      <c r="A171" s="3" t="n"/>
      <c r="B171" s="3" t="n"/>
      <c r="C171" s="3" t="n"/>
      <c r="D171" s="3" t="n"/>
      <c r="E171" s="3" t="n"/>
      <c r="F171" s="3" t="n"/>
    </row>
    <row r="172" ht="15.75" customHeight="1" s="31">
      <c r="A172" s="3" t="n"/>
      <c r="B172" s="3" t="n"/>
      <c r="C172" s="3" t="n"/>
      <c r="D172" s="3" t="n"/>
      <c r="E172" s="3" t="n"/>
      <c r="F172" s="3" t="n"/>
    </row>
    <row r="173" ht="15.75" customHeight="1" s="31">
      <c r="A173" s="3" t="n"/>
      <c r="B173" s="3" t="n"/>
      <c r="C173" s="3" t="n"/>
      <c r="D173" s="3" t="n"/>
      <c r="E173" s="3" t="n"/>
      <c r="F173" s="3" t="n"/>
    </row>
    <row r="174" ht="15.75" customHeight="1" s="31">
      <c r="A174" s="3" t="n"/>
      <c r="B174" s="3" t="n"/>
      <c r="C174" s="3" t="n"/>
      <c r="D174" s="3" t="n"/>
      <c r="E174" s="3" t="n"/>
      <c r="F174" s="3" t="n"/>
    </row>
    <row r="175" ht="15.75" customHeight="1" s="31">
      <c r="A175" s="3" t="n"/>
      <c r="B175" s="3" t="n"/>
      <c r="C175" s="3" t="n"/>
      <c r="D175" s="3" t="n"/>
      <c r="E175" s="3" t="n"/>
      <c r="F175" s="3" t="n"/>
    </row>
    <row r="176" ht="15.75" customHeight="1" s="31">
      <c r="A176" s="3" t="n"/>
      <c r="B176" s="3" t="n"/>
      <c r="C176" s="3" t="n"/>
      <c r="D176" s="3" t="n"/>
      <c r="E176" s="3" t="n"/>
      <c r="F176" s="3" t="n"/>
    </row>
    <row r="177" ht="15.75" customHeight="1" s="31">
      <c r="A177" s="3" t="n"/>
      <c r="B177" s="3" t="n"/>
      <c r="C177" s="3" t="n"/>
      <c r="D177" s="3" t="n"/>
      <c r="E177" s="3" t="n"/>
      <c r="F177" s="3" t="n"/>
    </row>
    <row r="178" ht="15.75" customHeight="1" s="31">
      <c r="A178" s="3" t="n"/>
      <c r="B178" s="3" t="n"/>
      <c r="C178" s="3" t="n"/>
      <c r="D178" s="3" t="n"/>
      <c r="E178" s="3" t="n"/>
      <c r="F178" s="3" t="n"/>
    </row>
    <row r="179" ht="15.75" customHeight="1" s="31">
      <c r="A179" s="3" t="n"/>
      <c r="B179" s="3" t="n"/>
      <c r="C179" s="3" t="n"/>
      <c r="D179" s="3" t="n"/>
      <c r="E179" s="3" t="n"/>
      <c r="F179" s="3" t="n"/>
    </row>
    <row r="180" ht="15.75" customHeight="1" s="31">
      <c r="A180" s="3" t="n"/>
      <c r="B180" s="3" t="n"/>
      <c r="C180" s="3" t="n"/>
      <c r="D180" s="3" t="n"/>
      <c r="E180" s="3" t="n"/>
      <c r="F180" s="3" t="n"/>
    </row>
    <row r="181" ht="15.75" customHeight="1" s="31">
      <c r="A181" s="3" t="n"/>
      <c r="B181" s="3" t="n"/>
      <c r="C181" s="3" t="n"/>
      <c r="D181" s="3" t="n"/>
      <c r="E181" s="3" t="n"/>
      <c r="F181" s="3" t="n"/>
    </row>
    <row r="182" ht="15.75" customHeight="1" s="31">
      <c r="A182" s="3" t="n"/>
      <c r="B182" s="3" t="n"/>
      <c r="C182" s="3" t="n"/>
      <c r="D182" s="3" t="n"/>
      <c r="E182" s="3" t="n"/>
      <c r="F182" s="3" t="n"/>
    </row>
    <row r="183" ht="15.75" customHeight="1" s="31">
      <c r="A183" s="3" t="n"/>
      <c r="B183" s="3" t="n"/>
      <c r="C183" s="3" t="n"/>
      <c r="D183" s="3" t="n"/>
      <c r="E183" s="3" t="n"/>
      <c r="F183" s="3" t="n"/>
    </row>
    <row r="184" ht="15.75" customHeight="1" s="31">
      <c r="A184" s="3" t="n"/>
      <c r="B184" s="3" t="n"/>
      <c r="C184" s="3" t="n"/>
      <c r="D184" s="3" t="n"/>
      <c r="E184" s="3" t="n"/>
      <c r="F184" s="3" t="n"/>
    </row>
    <row r="185" ht="15.75" customHeight="1" s="31">
      <c r="A185" s="3" t="n"/>
      <c r="B185" s="3" t="n"/>
      <c r="C185" s="3" t="n"/>
      <c r="D185" s="3" t="n"/>
      <c r="E185" s="3" t="n"/>
      <c r="F185" s="3" t="n"/>
    </row>
    <row r="186" ht="15.75" customHeight="1" s="31">
      <c r="A186" s="3" t="n"/>
      <c r="B186" s="3" t="n"/>
      <c r="C186" s="3" t="n"/>
      <c r="D186" s="3" t="n"/>
      <c r="E186" s="3" t="n"/>
      <c r="F186" s="3" t="n"/>
    </row>
    <row r="187" ht="15.75" customHeight="1" s="31">
      <c r="A187" s="3" t="n"/>
      <c r="B187" s="3" t="n"/>
      <c r="C187" s="3" t="n"/>
      <c r="D187" s="3" t="n"/>
      <c r="E187" s="3" t="n"/>
      <c r="F187" s="3" t="n"/>
    </row>
    <row r="188" ht="15.75" customHeight="1" s="31">
      <c r="A188" s="3" t="n"/>
      <c r="B188" s="3" t="n"/>
      <c r="C188" s="3" t="n"/>
      <c r="D188" s="3" t="n"/>
      <c r="E188" s="3" t="n"/>
      <c r="F188" s="3" t="n"/>
    </row>
    <row r="189" ht="15.75" customHeight="1" s="31">
      <c r="A189" s="3" t="n"/>
      <c r="B189" s="3" t="n"/>
      <c r="C189" s="3" t="n"/>
      <c r="D189" s="3" t="n"/>
      <c r="E189" s="3" t="n"/>
      <c r="F189" s="3" t="n"/>
    </row>
    <row r="190" ht="15.75" customHeight="1" s="31">
      <c r="A190" s="3" t="n"/>
      <c r="B190" s="3" t="n"/>
      <c r="C190" s="3" t="n"/>
      <c r="D190" s="3" t="n"/>
      <c r="E190" s="3" t="n"/>
      <c r="F190" s="3" t="n"/>
    </row>
    <row r="191" ht="15.75" customHeight="1" s="31">
      <c r="A191" s="3" t="n"/>
      <c r="B191" s="3" t="n"/>
      <c r="C191" s="3" t="n"/>
      <c r="D191" s="3" t="n"/>
      <c r="E191" s="3" t="n"/>
      <c r="F191" s="3" t="n"/>
    </row>
    <row r="192" ht="15.75" customHeight="1" s="31">
      <c r="A192" s="3" t="n"/>
      <c r="B192" s="3" t="n"/>
      <c r="C192" s="3" t="n"/>
      <c r="D192" s="3" t="n"/>
      <c r="E192" s="3" t="n"/>
      <c r="F192" s="3" t="n"/>
    </row>
    <row r="193" ht="15.75" customHeight="1" s="31">
      <c r="A193" s="3" t="n"/>
      <c r="B193" s="3" t="n"/>
      <c r="C193" s="3" t="n"/>
      <c r="D193" s="3" t="n"/>
      <c r="E193" s="3" t="n"/>
      <c r="F193" s="3" t="n"/>
    </row>
    <row r="194" ht="15.75" customHeight="1" s="31">
      <c r="A194" s="3" t="n"/>
      <c r="B194" s="3" t="n"/>
      <c r="C194" s="3" t="n"/>
      <c r="D194" s="3" t="n"/>
      <c r="E194" s="3" t="n"/>
      <c r="F194" s="3" t="n"/>
    </row>
    <row r="195" ht="15.75" customHeight="1" s="31">
      <c r="A195" s="3" t="n"/>
      <c r="B195" s="3" t="n"/>
      <c r="C195" s="3" t="n"/>
      <c r="D195" s="3" t="n"/>
      <c r="E195" s="3" t="n"/>
      <c r="F195" s="3" t="n"/>
    </row>
    <row r="196" ht="15.75" customHeight="1" s="31">
      <c r="A196" s="3" t="n"/>
      <c r="B196" s="3" t="n"/>
      <c r="C196" s="3" t="n"/>
      <c r="D196" s="3" t="n"/>
      <c r="E196" s="3" t="n"/>
      <c r="F196" s="3" t="n"/>
    </row>
    <row r="197" ht="15.75" customHeight="1" s="31">
      <c r="A197" s="3" t="n"/>
      <c r="B197" s="3" t="n"/>
      <c r="C197" s="3" t="n"/>
      <c r="D197" s="3" t="n"/>
      <c r="E197" s="3" t="n"/>
      <c r="F197" s="3" t="n"/>
    </row>
    <row r="198" ht="15.75" customHeight="1" s="31">
      <c r="A198" s="3" t="n"/>
      <c r="B198" s="3" t="n"/>
      <c r="C198" s="3" t="n"/>
      <c r="D198" s="3" t="n"/>
      <c r="E198" s="3" t="n"/>
      <c r="F198" s="3" t="n"/>
    </row>
    <row r="199" ht="15.75" customHeight="1" s="31">
      <c r="A199" s="3" t="n"/>
      <c r="B199" s="3" t="n"/>
      <c r="C199" s="3" t="n"/>
      <c r="D199" s="3" t="n"/>
      <c r="E199" s="3" t="n"/>
      <c r="F199" s="3" t="n"/>
    </row>
    <row r="200" ht="15.75" customHeight="1" s="31">
      <c r="A200" s="3" t="n"/>
      <c r="B200" s="3" t="n"/>
      <c r="C200" s="3" t="n"/>
      <c r="D200" s="3" t="n"/>
      <c r="E200" s="3" t="n"/>
      <c r="F200" s="3" t="n"/>
    </row>
    <row r="201" ht="15.75" customHeight="1" s="31">
      <c r="A201" s="3" t="n"/>
      <c r="B201" s="3" t="n"/>
      <c r="C201" s="3" t="n"/>
      <c r="D201" s="3" t="n"/>
      <c r="E201" s="3" t="n"/>
      <c r="F201" s="3" t="n"/>
    </row>
    <row r="202" ht="15.75" customHeight="1" s="31">
      <c r="A202" s="3" t="n"/>
      <c r="B202" s="3" t="n"/>
      <c r="C202" s="3" t="n"/>
      <c r="D202" s="3" t="n"/>
      <c r="E202" s="3" t="n"/>
      <c r="F202" s="3" t="n"/>
    </row>
    <row r="203" ht="15.75" customHeight="1" s="31">
      <c r="A203" s="3" t="n"/>
      <c r="B203" s="3" t="n"/>
      <c r="C203" s="3" t="n"/>
      <c r="D203" s="3" t="n"/>
      <c r="E203" s="3" t="n"/>
      <c r="F203" s="3" t="n"/>
    </row>
    <row r="204" ht="15.75" customHeight="1" s="31">
      <c r="A204" s="3" t="n"/>
      <c r="B204" s="3" t="n"/>
      <c r="C204" s="3" t="n"/>
      <c r="D204" s="3" t="n"/>
      <c r="E204" s="3" t="n"/>
      <c r="F204" s="3" t="n"/>
    </row>
    <row r="205" ht="15.75" customHeight="1" s="31">
      <c r="A205" s="3" t="n"/>
      <c r="B205" s="3" t="n"/>
      <c r="C205" s="3" t="n"/>
      <c r="D205" s="3" t="n"/>
      <c r="E205" s="3" t="n"/>
      <c r="F205" s="3" t="n"/>
    </row>
    <row r="206" ht="15.75" customHeight="1" s="31">
      <c r="A206" s="3" t="n"/>
      <c r="B206" s="3" t="n"/>
      <c r="C206" s="3" t="n"/>
      <c r="D206" s="3" t="n"/>
      <c r="E206" s="3" t="n"/>
      <c r="F206" s="3" t="n"/>
    </row>
    <row r="207" ht="15.75" customHeight="1" s="31">
      <c r="A207" s="3" t="n"/>
      <c r="B207" s="3" t="n"/>
      <c r="C207" s="3" t="n"/>
      <c r="D207" s="3" t="n"/>
      <c r="E207" s="3" t="n"/>
      <c r="F207" s="3" t="n"/>
    </row>
    <row r="208" ht="15.75" customHeight="1" s="31">
      <c r="A208" s="3" t="n"/>
      <c r="B208" s="3" t="n"/>
      <c r="C208" s="3" t="n"/>
      <c r="D208" s="3" t="n"/>
      <c r="E208" s="3" t="n"/>
      <c r="F208" s="3" t="n"/>
    </row>
    <row r="209" ht="15.75" customHeight="1" s="31">
      <c r="A209" s="3" t="n"/>
      <c r="B209" s="3" t="n"/>
      <c r="C209" s="3" t="n"/>
      <c r="D209" s="3" t="n"/>
      <c r="E209" s="3" t="n"/>
      <c r="F209" s="3" t="n"/>
    </row>
    <row r="210" ht="15.75" customHeight="1" s="31">
      <c r="A210" s="3" t="n"/>
      <c r="B210" s="3" t="n"/>
      <c r="C210" s="3" t="n"/>
      <c r="D210" s="3" t="n"/>
      <c r="E210" s="3" t="n"/>
      <c r="F210" s="3" t="n"/>
    </row>
    <row r="211" ht="15.75" customHeight="1" s="31">
      <c r="A211" s="3" t="n"/>
      <c r="B211" s="3" t="n"/>
      <c r="C211" s="3" t="n"/>
      <c r="D211" s="3" t="n"/>
      <c r="E211" s="3" t="n"/>
      <c r="F211" s="3" t="n"/>
    </row>
    <row r="212" ht="15.75" customHeight="1" s="31">
      <c r="A212" s="3" t="n"/>
      <c r="B212" s="3" t="n"/>
      <c r="C212" s="3" t="n"/>
      <c r="D212" s="3" t="n"/>
      <c r="E212" s="3" t="n"/>
      <c r="F212" s="3" t="n"/>
    </row>
    <row r="213" ht="15.75" customHeight="1" s="31">
      <c r="A213" s="3" t="n"/>
      <c r="B213" s="3" t="n"/>
      <c r="C213" s="3" t="n"/>
      <c r="D213" s="3" t="n"/>
      <c r="E213" s="3" t="n"/>
      <c r="F213" s="3" t="n"/>
    </row>
    <row r="214" ht="15.75" customHeight="1" s="31">
      <c r="A214" s="3" t="n"/>
      <c r="B214" s="3" t="n"/>
      <c r="C214" s="3" t="n"/>
      <c r="D214" s="3" t="n"/>
      <c r="E214" s="3" t="n"/>
      <c r="F214" s="3" t="n"/>
    </row>
    <row r="215" ht="15.75" customHeight="1" s="31">
      <c r="A215" s="3" t="n"/>
      <c r="B215" s="3" t="n"/>
      <c r="C215" s="3" t="n"/>
      <c r="D215" s="3" t="n"/>
      <c r="E215" s="3" t="n"/>
      <c r="F215" s="3" t="n"/>
    </row>
    <row r="216" ht="15.75" customHeight="1" s="31">
      <c r="A216" s="3" t="n"/>
      <c r="B216" s="3" t="n"/>
      <c r="C216" s="3" t="n"/>
      <c r="D216" s="3" t="n"/>
      <c r="E216" s="3" t="n"/>
      <c r="F216" s="3" t="n"/>
    </row>
    <row r="217" ht="15.75" customHeight="1" s="31">
      <c r="A217" s="3" t="n"/>
      <c r="B217" s="3" t="n"/>
      <c r="C217" s="3" t="n"/>
      <c r="D217" s="3" t="n"/>
      <c r="E217" s="3" t="n"/>
      <c r="F217" s="3" t="n"/>
    </row>
    <row r="218" ht="15.75" customHeight="1" s="31">
      <c r="A218" s="3" t="n"/>
      <c r="B218" s="3" t="n"/>
      <c r="C218" s="3" t="n"/>
      <c r="D218" s="3" t="n"/>
      <c r="E218" s="3" t="n"/>
      <c r="F218" s="3" t="n"/>
    </row>
    <row r="219" ht="15.75" customHeight="1" s="31">
      <c r="A219" s="3" t="n"/>
      <c r="B219" s="3" t="n"/>
      <c r="C219" s="3" t="n"/>
      <c r="D219" s="3" t="n"/>
      <c r="E219" s="3" t="n"/>
      <c r="F219" s="3" t="n"/>
    </row>
    <row r="220" ht="15.75" customHeight="1" s="31">
      <c r="A220" s="3" t="n"/>
      <c r="B220" s="3" t="n"/>
      <c r="C220" s="3" t="n"/>
      <c r="D220" s="3" t="n"/>
      <c r="E220" s="3" t="n"/>
      <c r="F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hyperlinks>
    <hyperlink xmlns:r="http://schemas.openxmlformats.org/officeDocument/2006/relationships" ref="F2" r:id="rId1"/>
  </hyperlink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26" t="inlineStr">
        <is>
          <t>Fecha de Compra</t>
        </is>
      </c>
      <c r="B1" s="626" t="inlineStr">
        <is>
          <t>Cripto</t>
        </is>
      </c>
      <c r="C1" s="626" t="inlineStr">
        <is>
          <t>Cantidad</t>
        </is>
      </c>
      <c r="D1" s="626" t="inlineStr">
        <is>
          <t>Precio Compra (USD)</t>
        </is>
      </c>
      <c r="E1" s="626" t="inlineStr">
        <is>
          <t>Valor Actual (USD)</t>
        </is>
      </c>
      <c r="F1" s="626" t="inlineStr">
        <is>
          <t>Wallet</t>
        </is>
      </c>
      <c r="G1" s="626" t="inlineStr">
        <is>
          <t>¿Stakeado? (Sí/No)</t>
        </is>
      </c>
      <c r="H1" s="773" t="inlineStr">
        <is>
          <t>Total Crypto</t>
        </is>
      </c>
      <c r="I1" s="773" t="inlineStr">
        <is>
          <t>Total USD</t>
        </is>
      </c>
    </row>
    <row r="2">
      <c r="A2" s="45" t="n">
        <v>46092</v>
      </c>
      <c r="B2" s="0" t="inlineStr">
        <is>
          <t>ADA</t>
        </is>
      </c>
      <c r="C2" s="0" t="n">
        <v>2255.23809524</v>
      </c>
      <c r="D2" s="0" t="n">
        <v>592</v>
      </c>
      <c r="E2" s="0" t="n">
        <v>0.26</v>
      </c>
      <c r="F2" s="0" t="inlineStr">
        <is>
          <t>binance</t>
        </is>
      </c>
      <c r="G2" s="0" t="inlineStr">
        <is>
          <t>No</t>
        </is>
      </c>
      <c r="H2" s="0">
        <f>SUM(C2:C5)</f>
        <v/>
      </c>
      <c r="I2" s="0">
        <f>SUM(D2:D5)</f>
        <v/>
      </c>
    </row>
    <row r="3">
      <c r="A3" s="45" t="n">
        <v>46092</v>
      </c>
      <c r="B3" s="0" t="inlineStr">
        <is>
          <t>ADA</t>
        </is>
      </c>
      <c r="C3" s="0" t="n">
        <v>590.92642013</v>
      </c>
      <c r="D3" s="0" t="n">
        <v>155</v>
      </c>
      <c r="E3" s="0" t="n">
        <v>0.26</v>
      </c>
      <c r="F3" s="0" t="inlineStr">
        <is>
          <t>binance</t>
        </is>
      </c>
      <c r="G3" s="0" t="inlineStr">
        <is>
          <t>No</t>
        </is>
      </c>
    </row>
    <row r="4">
      <c r="A4" s="45" t="n">
        <v>46092</v>
      </c>
      <c r="B4" s="0" t="inlineStr">
        <is>
          <t>ADA</t>
        </is>
      </c>
      <c r="C4" s="0" t="n">
        <v>-2255.23809524</v>
      </c>
      <c r="D4" s="0" t="n">
        <v>-592</v>
      </c>
      <c r="E4" s="0" t="n">
        <v>0.26</v>
      </c>
      <c r="F4" s="0" t="inlineStr">
        <is>
          <t>binance</t>
        </is>
      </c>
      <c r="G4" s="0" t="inlineStr">
        <is>
          <t>No</t>
        </is>
      </c>
    </row>
    <row r="5">
      <c r="A5" s="45" t="n">
        <v>46098</v>
      </c>
      <c r="B5" s="0" t="inlineStr">
        <is>
          <t>ADA</t>
        </is>
      </c>
      <c r="C5" s="0" t="n">
        <v>488.90429958</v>
      </c>
      <c r="D5" s="0" t="n">
        <v>141</v>
      </c>
      <c r="E5" s="0" t="n">
        <v>0.29</v>
      </c>
      <c r="F5" s="0" t="inlineStr">
        <is>
          <t>binance</t>
        </is>
      </c>
      <c r="G5" s="0" t="inlineStr">
        <is>
          <t>No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Cripto</t>
        </is>
      </c>
      <c r="B1" s="38" t="inlineStr">
        <is>
          <t>Cantidad</t>
        </is>
      </c>
      <c r="C1" s="38" t="inlineStr">
        <is>
          <t>Compra (USD)</t>
        </is>
      </c>
      <c r="D1" s="38" t="inlineStr">
        <is>
          <t>Actual (USD)</t>
        </is>
      </c>
      <c r="E1" s="38" t="inlineStr">
        <is>
          <t>Ganancia/Perdida</t>
        </is>
      </c>
      <c r="F1" s="38" t="inlineStr">
        <is>
          <t>Precio (USD)</t>
        </is>
      </c>
      <c r="G1" s="38" t="inlineStr">
        <is>
          <t>Total Compra</t>
        </is>
      </c>
      <c r="H1" s="38" t="inlineStr">
        <is>
          <t>Total Actual</t>
        </is>
      </c>
      <c r="I1" s="38" t="inlineStr">
        <is>
          <t>Total Ganancia</t>
        </is>
      </c>
    </row>
    <row r="2">
      <c r="A2" t="inlineStr">
        <is>
          <t>BTC</t>
        </is>
      </c>
      <c r="B2" t="n">
        <v>0.00432247</v>
      </c>
      <c r="C2" t="n">
        <v>60</v>
      </c>
      <c r="D2" t="n">
        <v>295.53</v>
      </c>
      <c r="E2" t="n">
        <v>235.53</v>
      </c>
      <c r="F2" t="n">
        <v>68370</v>
      </c>
      <c r="G2" s="39">
        <f>SUM(C2:C8)</f>
        <v/>
      </c>
      <c r="H2" s="39">
        <f>SUM(D2:D8)</f>
        <v/>
      </c>
      <c r="I2" s="39">
        <f>SUM(E2:E8)</f>
        <v/>
      </c>
    </row>
    <row r="3">
      <c r="A3" t="inlineStr">
        <is>
          <t>ETH</t>
        </is>
      </c>
      <c r="B3" t="n">
        <v>0.09418798</v>
      </c>
      <c r="C3" t="n">
        <v>320</v>
      </c>
      <c r="D3" t="n">
        <v>196.02</v>
      </c>
      <c r="E3" t="n">
        <v>-123.98</v>
      </c>
      <c r="F3" t="n">
        <v>2081</v>
      </c>
      <c r="G3" t="inlineStr"/>
      <c r="H3" t="inlineStr"/>
      <c r="I3" t="inlineStr"/>
    </row>
    <row r="4">
      <c r="A4" t="inlineStr">
        <is>
          <t>SOL</t>
        </is>
      </c>
      <c r="B4" t="n">
        <v>0.73096036</v>
      </c>
      <c r="C4" t="n">
        <v>134</v>
      </c>
      <c r="D4" t="n">
        <v>57.77</v>
      </c>
      <c r="E4" t="n">
        <v>-76.23</v>
      </c>
      <c r="F4" t="n">
        <v>79</v>
      </c>
      <c r="G4" t="inlineStr"/>
      <c r="H4" t="inlineStr"/>
      <c r="I4" t="inlineStr"/>
    </row>
    <row r="5">
      <c r="A5" t="inlineStr">
        <is>
          <t>BCH</t>
        </is>
      </c>
      <c r="B5" t="n">
        <v>0.24078986</v>
      </c>
      <c r="C5" t="n">
        <v>108</v>
      </c>
      <c r="D5" t="n">
        <v>104.26</v>
      </c>
      <c r="E5" t="n">
        <v>-3.74</v>
      </c>
      <c r="F5" t="n">
        <v>433</v>
      </c>
      <c r="G5" t="inlineStr"/>
      <c r="H5" t="inlineStr"/>
      <c r="I5" t="inlineStr"/>
    </row>
    <row r="6">
      <c r="A6" t="inlineStr">
        <is>
          <t>BNB</t>
        </is>
      </c>
      <c r="B6" t="n">
        <v>0.12421434</v>
      </c>
      <c r="C6" t="n">
        <v>100</v>
      </c>
      <c r="D6" t="n">
        <v>74.22</v>
      </c>
      <c r="E6" t="n">
        <v>-25.78</v>
      </c>
      <c r="F6" t="n">
        <v>597</v>
      </c>
      <c r="G6" t="inlineStr"/>
      <c r="H6" t="inlineStr"/>
      <c r="I6" t="inlineStr"/>
    </row>
    <row r="7">
      <c r="A7" t="inlineStr">
        <is>
          <t>ADA</t>
        </is>
      </c>
      <c r="B7" t="n">
        <v>1079.83071971</v>
      </c>
      <c r="C7" t="n">
        <v>296</v>
      </c>
      <c r="D7" t="n">
        <v>261.91</v>
      </c>
      <c r="E7" t="n">
        <v>-34.09</v>
      </c>
      <c r="F7" t="n">
        <v>0</v>
      </c>
      <c r="G7" t="inlineStr"/>
      <c r="H7" t="inlineStr"/>
      <c r="I7" t="inlineStr"/>
    </row>
    <row r="8">
      <c r="A8" t="inlineStr">
        <is>
          <t>USDT</t>
        </is>
      </c>
      <c r="B8" t="n">
        <v>0</v>
      </c>
      <c r="C8" t="n">
        <v>5</v>
      </c>
      <c r="D8" t="inlineStr"/>
      <c r="E8" t="inlineStr"/>
      <c r="F8" t="n">
        <v>1</v>
      </c>
      <c r="G8" t="inlineStr"/>
      <c r="H8" t="inlineStr"/>
      <c r="I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 10 Cripto del momento</t>
        </is>
      </c>
    </row>
    <row r="2">
      <c r="A2" t="inlineStr">
        <is>
          <t>BTC</t>
        </is>
      </c>
    </row>
    <row r="3">
      <c r="A3" t="inlineStr">
        <is>
          <t>ETH</t>
        </is>
      </c>
    </row>
    <row r="4">
      <c r="A4" t="inlineStr">
        <is>
          <t>ADA</t>
        </is>
      </c>
    </row>
    <row r="5">
      <c r="A5" t="inlineStr">
        <is>
          <t>BNB</t>
        </is>
      </c>
    </row>
    <row r="6">
      <c r="A6" t="inlineStr">
        <is>
          <t>SOL</t>
        </is>
      </c>
    </row>
    <row r="7">
      <c r="A7" t="inlineStr">
        <is>
          <t>DOT</t>
        </is>
      </c>
    </row>
    <row r="8">
      <c r="A8" t="inlineStr">
        <is>
          <t>XRP</t>
        </is>
      </c>
    </row>
    <row r="9">
      <c r="A9" t="inlineStr">
        <is>
          <t>LTC</t>
        </is>
      </c>
    </row>
    <row r="10">
      <c r="A10" t="inlineStr">
        <is>
          <t>LINK</t>
        </is>
      </c>
    </row>
    <row r="11">
      <c r="A11" t="inlineStr">
        <is>
          <t>Use Stop-Limit orders to manage risks effectively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 10 Cripto bajas</t>
        </is>
      </c>
    </row>
    <row r="2">
      <c r="A2" t="inlineStr">
        <is>
          <t>ADA</t>
        </is>
      </c>
    </row>
    <row r="3">
      <c r="A3" t="inlineStr">
        <is>
          <t>XLM</t>
        </is>
      </c>
    </row>
    <row r="4">
      <c r="A4" t="inlineStr">
        <is>
          <t>ATOM</t>
        </is>
      </c>
    </row>
    <row r="5">
      <c r="A5" t="inlineStr">
        <is>
          <t>XTZ</t>
        </is>
      </c>
    </row>
    <row r="6">
      <c r="A6" t="inlineStr">
        <is>
          <t>VET</t>
        </is>
      </c>
    </row>
    <row r="7">
      <c r="A7" t="inlineStr">
        <is>
          <t>ZRX</t>
        </is>
      </c>
    </row>
    <row r="8">
      <c r="A8" t="inlineStr">
        <is>
          <t>BAT</t>
        </is>
      </c>
    </row>
    <row r="9">
      <c r="A9" t="inlineStr">
        <is>
          <t>GNT</t>
        </is>
      </c>
    </row>
    <row r="10">
      <c r="A10" t="inlineStr">
        <is>
          <t>DOGE</t>
        </is>
      </c>
    </row>
    <row r="11">
      <c r="A11" t="inlineStr">
        <is>
          <t>AMP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H366"/>
  <sheetViews>
    <sheetView workbookViewId="0">
      <selection activeCell="A1" sqref="A1"/>
    </sheetView>
  </sheetViews>
  <sheetFormatPr baseColWidth="8" defaultRowHeight="15"/>
  <sheetData>
    <row r="2">
      <c r="A2" t="inlineStr">
        <is>
          <t>Histórico de precios (USD) - Últimos 6 meses</t>
        </is>
      </c>
    </row>
    <row r="3">
      <c r="A3" t="inlineStr">
        <is>
          <t>Fecha</t>
        </is>
      </c>
      <c r="B3" s="774" t="inlineStr">
        <is>
          <t>BTC</t>
        </is>
      </c>
      <c r="C3" s="775" t="inlineStr">
        <is>
          <t>ETH</t>
        </is>
      </c>
      <c r="D3" s="776" t="inlineStr">
        <is>
          <t>SOL</t>
        </is>
      </c>
      <c r="E3" s="777" t="inlineStr">
        <is>
          <t>BCH</t>
        </is>
      </c>
      <c r="F3" s="778" t="inlineStr">
        <is>
          <t>BNB</t>
        </is>
      </c>
      <c r="G3" s="779" t="inlineStr">
        <is>
          <t>ADA</t>
        </is>
      </c>
      <c r="H3" s="780" t="inlineStr">
        <is>
          <t>USDT</t>
        </is>
      </c>
    </row>
    <row r="4">
      <c r="A4" s="45" t="n">
        <v>45940</v>
      </c>
      <c r="B4" t="n">
        <v>112774.5</v>
      </c>
      <c r="C4" t="n">
        <v>3829.72</v>
      </c>
      <c r="D4" t="n">
        <v>188.43</v>
      </c>
      <c r="E4" t="n">
        <v>513.5</v>
      </c>
      <c r="F4" t="n">
        <v>1102.47</v>
      </c>
      <c r="G4" t="n">
        <v>0.6353</v>
      </c>
    </row>
    <row r="5">
      <c r="A5" s="45" t="n">
        <v>45941</v>
      </c>
      <c r="B5" t="n">
        <v>110644.4</v>
      </c>
      <c r="C5" t="n">
        <v>3746.79</v>
      </c>
      <c r="D5" t="n">
        <v>177.62</v>
      </c>
      <c r="E5" t="n">
        <v>500.1</v>
      </c>
      <c r="F5" t="n">
        <v>1135.07</v>
      </c>
      <c r="G5" t="n">
        <v>0.6316000000000001</v>
      </c>
    </row>
    <row r="6">
      <c r="A6" s="45" t="n">
        <v>45942</v>
      </c>
      <c r="B6" t="n">
        <v>114958.8</v>
      </c>
      <c r="C6" t="n">
        <v>4152.29</v>
      </c>
      <c r="D6" t="n">
        <v>197</v>
      </c>
      <c r="E6" t="n">
        <v>540.7</v>
      </c>
      <c r="F6" t="n">
        <v>1302.65</v>
      </c>
      <c r="G6" t="n">
        <v>0.7</v>
      </c>
    </row>
    <row r="7">
      <c r="A7" s="45" t="n">
        <v>45943</v>
      </c>
      <c r="B7" t="n">
        <v>115166</v>
      </c>
      <c r="C7" t="n">
        <v>4240.85</v>
      </c>
      <c r="D7" t="n">
        <v>208.69</v>
      </c>
      <c r="E7" t="n">
        <v>546.5</v>
      </c>
      <c r="F7" t="n">
        <v>1294.55</v>
      </c>
      <c r="G7" t="n">
        <v>0.7284</v>
      </c>
    </row>
    <row r="8">
      <c r="A8" s="45" t="n">
        <v>45944</v>
      </c>
      <c r="B8" t="n">
        <v>113028.14</v>
      </c>
      <c r="C8" t="n">
        <v>4125.02</v>
      </c>
      <c r="D8" t="n">
        <v>202.44</v>
      </c>
      <c r="E8" t="n">
        <v>538</v>
      </c>
      <c r="F8" t="n">
        <v>1208.52</v>
      </c>
      <c r="G8" t="n">
        <v>0.6989</v>
      </c>
    </row>
    <row r="9">
      <c r="A9" s="45" t="n">
        <v>45945</v>
      </c>
      <c r="B9" t="n">
        <v>110763.28</v>
      </c>
      <c r="C9" t="n">
        <v>3985.61</v>
      </c>
      <c r="D9" t="n">
        <v>193.84</v>
      </c>
      <c r="E9" t="n">
        <v>522.2</v>
      </c>
      <c r="F9" t="n">
        <v>1162.57</v>
      </c>
      <c r="G9" t="n">
        <v>0.6684</v>
      </c>
    </row>
    <row r="10">
      <c r="A10" s="45" t="n">
        <v>45946</v>
      </c>
      <c r="B10" t="n">
        <v>108194.28</v>
      </c>
      <c r="C10" t="n">
        <v>3894.51</v>
      </c>
      <c r="D10" t="n">
        <v>184.85</v>
      </c>
      <c r="E10" t="n">
        <v>504.8</v>
      </c>
      <c r="F10" t="n">
        <v>1144.83</v>
      </c>
      <c r="G10" t="n">
        <v>0.6453</v>
      </c>
    </row>
    <row r="11">
      <c r="A11" s="45" t="n">
        <v>45947</v>
      </c>
      <c r="B11" t="n">
        <v>106431.68</v>
      </c>
      <c r="C11" t="n">
        <v>3831.57</v>
      </c>
      <c r="D11" t="n">
        <v>181.96</v>
      </c>
      <c r="E11" t="n">
        <v>469.8</v>
      </c>
      <c r="F11" t="n">
        <v>1071.15</v>
      </c>
      <c r="G11" t="n">
        <v>0.6245000000000001</v>
      </c>
    </row>
    <row r="12">
      <c r="A12" s="45" t="n">
        <v>45948</v>
      </c>
      <c r="B12" t="n">
        <v>107185.01</v>
      </c>
      <c r="C12" t="n">
        <v>3889.21</v>
      </c>
      <c r="D12" t="n">
        <v>187.56</v>
      </c>
      <c r="E12" t="n">
        <v>468.5</v>
      </c>
      <c r="F12" t="n">
        <v>1092.43</v>
      </c>
      <c r="G12" t="n">
        <v>0.6343</v>
      </c>
    </row>
    <row r="13">
      <c r="A13" s="45" t="n">
        <v>45949</v>
      </c>
      <c r="B13" t="n">
        <v>108642.78</v>
      </c>
      <c r="C13" t="n">
        <v>3982.58</v>
      </c>
      <c r="D13" t="n">
        <v>187.86</v>
      </c>
      <c r="E13" t="n">
        <v>472.7</v>
      </c>
      <c r="F13" t="n">
        <v>1109.88</v>
      </c>
      <c r="G13" t="n">
        <v>0.6528</v>
      </c>
    </row>
    <row r="14">
      <c r="A14" s="45" t="n">
        <v>45950</v>
      </c>
      <c r="B14" t="n">
        <v>110532.09</v>
      </c>
      <c r="C14" t="n">
        <v>3979.22</v>
      </c>
      <c r="D14" t="n">
        <v>189.71</v>
      </c>
      <c r="E14" t="n">
        <v>478.7</v>
      </c>
      <c r="F14" t="n">
        <v>1100.19</v>
      </c>
      <c r="G14" t="n">
        <v>0.6625</v>
      </c>
    </row>
    <row r="15">
      <c r="A15" s="45" t="n">
        <v>45951</v>
      </c>
      <c r="B15" t="n">
        <v>108297.67</v>
      </c>
      <c r="C15" t="n">
        <v>3873.05</v>
      </c>
      <c r="D15" t="n">
        <v>185.63</v>
      </c>
      <c r="E15" t="n">
        <v>480.8</v>
      </c>
      <c r="F15" t="n">
        <v>1057.16</v>
      </c>
      <c r="G15" t="n">
        <v>0.6428</v>
      </c>
    </row>
    <row r="16">
      <c r="A16" s="45" t="n">
        <v>45952</v>
      </c>
      <c r="B16" t="n">
        <v>107567.44</v>
      </c>
      <c r="C16" t="n">
        <v>3805.53</v>
      </c>
      <c r="D16" t="n">
        <v>180.12</v>
      </c>
      <c r="E16" t="n">
        <v>473.2</v>
      </c>
      <c r="F16" t="n">
        <v>1071.82</v>
      </c>
      <c r="G16" t="n">
        <v>0.6238</v>
      </c>
    </row>
    <row r="17">
      <c r="A17" s="45" t="n">
        <v>45953</v>
      </c>
      <c r="B17" t="n">
        <v>110078.18</v>
      </c>
      <c r="C17" t="n">
        <v>3856.8</v>
      </c>
      <c r="D17" t="n">
        <v>191.35</v>
      </c>
      <c r="E17" t="n">
        <v>480.3</v>
      </c>
      <c r="F17" t="n">
        <v>1126.72</v>
      </c>
      <c r="G17" t="n">
        <v>0.6428</v>
      </c>
    </row>
    <row r="18">
      <c r="A18" s="45" t="n">
        <v>45954</v>
      </c>
      <c r="B18" t="n">
        <v>111004.89</v>
      </c>
      <c r="C18" t="n">
        <v>3934.88</v>
      </c>
      <c r="D18" t="n">
        <v>193.59</v>
      </c>
      <c r="E18" t="n">
        <v>503.2</v>
      </c>
      <c r="F18" t="n">
        <v>1109.01</v>
      </c>
      <c r="G18" t="n">
        <v>0.656</v>
      </c>
    </row>
    <row r="19">
      <c r="A19" s="45" t="n">
        <v>45955</v>
      </c>
      <c r="B19" t="n">
        <v>111646.27</v>
      </c>
      <c r="C19" t="n">
        <v>3953.82</v>
      </c>
      <c r="D19" t="n">
        <v>193.84</v>
      </c>
      <c r="E19" t="n">
        <v>508.2</v>
      </c>
      <c r="F19" t="n">
        <v>1116.53</v>
      </c>
      <c r="G19" t="n">
        <v>0.6542</v>
      </c>
    </row>
    <row r="20">
      <c r="A20" s="45" t="n">
        <v>45956</v>
      </c>
      <c r="B20" t="n">
        <v>114559.4</v>
      </c>
      <c r="C20" t="n">
        <v>4158.46</v>
      </c>
      <c r="D20" t="n">
        <v>200.03</v>
      </c>
      <c r="E20" t="n">
        <v>559.4</v>
      </c>
      <c r="F20" t="n">
        <v>1138.19</v>
      </c>
      <c r="G20" t="n">
        <v>0.6812</v>
      </c>
    </row>
    <row r="21">
      <c r="A21" s="45" t="n">
        <v>45957</v>
      </c>
      <c r="B21" t="n">
        <v>114107.65</v>
      </c>
      <c r="C21" t="n">
        <v>4120.15</v>
      </c>
      <c r="D21" t="n">
        <v>198.7</v>
      </c>
      <c r="E21" t="n">
        <v>555.6</v>
      </c>
      <c r="F21" t="n">
        <v>1138.88</v>
      </c>
      <c r="G21" t="n">
        <v>0.667</v>
      </c>
    </row>
    <row r="22">
      <c r="A22" s="45" t="n">
        <v>45958</v>
      </c>
      <c r="B22" t="n">
        <v>112898.45</v>
      </c>
      <c r="C22" t="n">
        <v>3979.2</v>
      </c>
      <c r="D22" t="n">
        <v>194.15</v>
      </c>
      <c r="E22" t="n">
        <v>557.6</v>
      </c>
      <c r="F22" t="n">
        <v>1103.45</v>
      </c>
      <c r="G22" t="n">
        <v>0.6459</v>
      </c>
    </row>
    <row r="23">
      <c r="A23" s="45" t="n">
        <v>45959</v>
      </c>
      <c r="B23" t="n">
        <v>110021.29</v>
      </c>
      <c r="C23" t="n">
        <v>3902.99</v>
      </c>
      <c r="D23" t="n">
        <v>193.88</v>
      </c>
      <c r="E23" t="n">
        <v>555.6</v>
      </c>
      <c r="F23" t="n">
        <v>1107.7</v>
      </c>
      <c r="G23" t="n">
        <v>0.6401</v>
      </c>
    </row>
    <row r="24">
      <c r="A24" s="45" t="n">
        <v>45960</v>
      </c>
      <c r="B24" t="n">
        <v>108322.88</v>
      </c>
      <c r="C24" t="n">
        <v>3805.09</v>
      </c>
      <c r="D24" t="n">
        <v>184.69</v>
      </c>
      <c r="E24" t="n">
        <v>541.2</v>
      </c>
      <c r="F24" t="n">
        <v>1079.05</v>
      </c>
      <c r="G24" t="n">
        <v>0.6016</v>
      </c>
    </row>
    <row r="25">
      <c r="A25" s="45" t="n">
        <v>45961</v>
      </c>
      <c r="B25" t="n">
        <v>109608.01</v>
      </c>
      <c r="C25" t="n">
        <v>3847.99</v>
      </c>
      <c r="D25" t="n">
        <v>187.21</v>
      </c>
      <c r="E25" t="n">
        <v>535.1</v>
      </c>
      <c r="F25" t="n">
        <v>1088.9</v>
      </c>
      <c r="G25" t="n">
        <v>0.6091</v>
      </c>
    </row>
    <row r="26">
      <c r="A26" s="45" t="n">
        <v>45962</v>
      </c>
      <c r="B26" t="n">
        <v>110098.1</v>
      </c>
      <c r="C26" t="n">
        <v>3873.77</v>
      </c>
      <c r="D26" t="n">
        <v>186.35</v>
      </c>
      <c r="E26" t="n">
        <v>554</v>
      </c>
      <c r="F26" t="n">
        <v>1094.53</v>
      </c>
      <c r="G26" t="n">
        <v>0.6128</v>
      </c>
    </row>
    <row r="27">
      <c r="A27" s="45" t="n">
        <v>45963</v>
      </c>
      <c r="B27" t="n">
        <v>110540.68</v>
      </c>
      <c r="C27" t="n">
        <v>3906.58</v>
      </c>
      <c r="D27" t="n">
        <v>187.71</v>
      </c>
      <c r="E27" t="n">
        <v>536.9</v>
      </c>
      <c r="F27" t="n">
        <v>1083.25</v>
      </c>
      <c r="G27" t="n">
        <v>0.6106</v>
      </c>
    </row>
    <row r="28">
      <c r="A28" s="45" t="n">
        <v>45964</v>
      </c>
      <c r="B28" t="n">
        <v>106583.04</v>
      </c>
      <c r="C28" t="n">
        <v>3603.83</v>
      </c>
      <c r="D28" t="n">
        <v>166.06</v>
      </c>
      <c r="E28" t="n">
        <v>505.9</v>
      </c>
      <c r="F28" t="n">
        <v>993.54</v>
      </c>
      <c r="G28" t="n">
        <v>0.5528</v>
      </c>
    </row>
    <row r="29">
      <c r="A29" s="45" t="n">
        <v>45965</v>
      </c>
      <c r="B29" t="n">
        <v>101497.22</v>
      </c>
      <c r="C29" t="n">
        <v>3287.05</v>
      </c>
      <c r="D29" t="n">
        <v>155.03</v>
      </c>
      <c r="E29" t="n">
        <v>480</v>
      </c>
      <c r="F29" t="n">
        <v>936.77</v>
      </c>
      <c r="G29" t="n">
        <v>0.5208</v>
      </c>
    </row>
    <row r="30">
      <c r="A30" s="45" t="n">
        <v>45966</v>
      </c>
      <c r="B30" t="n">
        <v>103885.16</v>
      </c>
      <c r="C30" t="n">
        <v>3424.29</v>
      </c>
      <c r="D30" t="n">
        <v>162.37</v>
      </c>
      <c r="E30" t="n">
        <v>489.1</v>
      </c>
      <c r="F30" t="n">
        <v>959.33</v>
      </c>
      <c r="G30" t="n">
        <v>0.5453</v>
      </c>
    </row>
    <row r="31">
      <c r="A31" s="45" t="n">
        <v>45967</v>
      </c>
      <c r="B31" t="n">
        <v>101346.04</v>
      </c>
      <c r="C31" t="n">
        <v>3315.14</v>
      </c>
      <c r="D31" t="n">
        <v>155.28</v>
      </c>
      <c r="E31" t="n">
        <v>472.9</v>
      </c>
      <c r="F31" t="n">
        <v>950.4</v>
      </c>
      <c r="G31" t="n">
        <v>0.5318000000000001</v>
      </c>
    </row>
    <row r="32">
      <c r="A32" s="45" t="n">
        <v>45968</v>
      </c>
      <c r="B32" t="n">
        <v>103339.08</v>
      </c>
      <c r="C32" t="n">
        <v>3436.05</v>
      </c>
      <c r="D32" t="n">
        <v>161.79</v>
      </c>
      <c r="E32" t="n">
        <v>512.3</v>
      </c>
      <c r="F32" t="n">
        <v>991.15</v>
      </c>
      <c r="G32" t="n">
        <v>0.5763</v>
      </c>
    </row>
    <row r="33">
      <c r="A33" s="45" t="n">
        <v>45969</v>
      </c>
      <c r="B33" t="n">
        <v>102312.94</v>
      </c>
      <c r="C33" t="n">
        <v>3401.51</v>
      </c>
      <c r="D33" t="n">
        <v>158.02</v>
      </c>
      <c r="E33" t="n">
        <v>495.8</v>
      </c>
      <c r="F33" t="n">
        <v>991.03</v>
      </c>
      <c r="G33" t="n">
        <v>0.5688</v>
      </c>
    </row>
    <row r="34">
      <c r="A34" s="45" t="n">
        <v>45970</v>
      </c>
      <c r="B34" t="n">
        <v>104722.96</v>
      </c>
      <c r="C34" t="n">
        <v>3583.46</v>
      </c>
      <c r="D34" t="n">
        <v>164.53</v>
      </c>
      <c r="E34" t="n">
        <v>503.5</v>
      </c>
      <c r="F34" t="n">
        <v>996.63</v>
      </c>
      <c r="G34" t="n">
        <v>0.579</v>
      </c>
    </row>
    <row r="35">
      <c r="A35" s="45" t="n">
        <v>45971</v>
      </c>
      <c r="B35" t="n">
        <v>106011.13</v>
      </c>
      <c r="C35" t="n">
        <v>3567.85</v>
      </c>
      <c r="D35" t="n">
        <v>167.31</v>
      </c>
      <c r="E35" t="n">
        <v>517.6</v>
      </c>
      <c r="F35" t="n">
        <v>991.98</v>
      </c>
      <c r="G35" t="n">
        <v>0.5928</v>
      </c>
    </row>
    <row r="36">
      <c r="A36" s="45" t="n">
        <v>45972</v>
      </c>
      <c r="B36" t="n">
        <v>103058.99</v>
      </c>
      <c r="C36" t="n">
        <v>3417.76</v>
      </c>
      <c r="D36" t="n">
        <v>154.63</v>
      </c>
      <c r="E36" t="n">
        <v>505.7</v>
      </c>
      <c r="F36" t="n">
        <v>958.08</v>
      </c>
      <c r="G36" t="n">
        <v>0.5564</v>
      </c>
    </row>
    <row r="37">
      <c r="A37" s="45" t="n">
        <v>45973</v>
      </c>
      <c r="B37" t="n">
        <v>101654.37</v>
      </c>
      <c r="C37" t="n">
        <v>3414.92</v>
      </c>
      <c r="D37" t="n">
        <v>153.42</v>
      </c>
      <c r="E37" t="n">
        <v>507.4</v>
      </c>
      <c r="F37" t="n">
        <v>952.86</v>
      </c>
      <c r="G37" t="n">
        <v>0.5458</v>
      </c>
    </row>
    <row r="38">
      <c r="A38" s="45" t="n">
        <v>45974</v>
      </c>
      <c r="B38" t="n">
        <v>99692.02</v>
      </c>
      <c r="C38" t="n">
        <v>3231.54</v>
      </c>
      <c r="D38" t="n">
        <v>144.73</v>
      </c>
      <c r="E38" t="n">
        <v>509.3</v>
      </c>
      <c r="F38" t="n">
        <v>927.15</v>
      </c>
      <c r="G38" t="n">
        <v>0.5298</v>
      </c>
    </row>
    <row r="39">
      <c r="A39" s="45" t="n">
        <v>45975</v>
      </c>
      <c r="B39" t="n">
        <v>94594</v>
      </c>
      <c r="C39" t="n">
        <v>3112.4</v>
      </c>
      <c r="D39" t="n">
        <v>138.92</v>
      </c>
      <c r="E39" t="n">
        <v>479.6</v>
      </c>
      <c r="F39" t="n">
        <v>915.25</v>
      </c>
      <c r="G39" t="n">
        <v>0.4984</v>
      </c>
    </row>
    <row r="40">
      <c r="A40" s="45" t="n">
        <v>45976</v>
      </c>
      <c r="B40" t="n">
        <v>95596.24000000001</v>
      </c>
      <c r="C40" t="n">
        <v>3167.88</v>
      </c>
      <c r="D40" t="n">
        <v>139.61</v>
      </c>
      <c r="E40" t="n">
        <v>502.5</v>
      </c>
      <c r="F40" t="n">
        <v>932.28</v>
      </c>
      <c r="G40" t="n">
        <v>0.5036</v>
      </c>
    </row>
    <row r="41">
      <c r="A41" s="45" t="n">
        <v>45977</v>
      </c>
      <c r="B41" t="n">
        <v>94261.44</v>
      </c>
      <c r="C41" t="n">
        <v>3095.29</v>
      </c>
      <c r="D41" t="n">
        <v>137.17</v>
      </c>
      <c r="E41" t="n">
        <v>483.4</v>
      </c>
      <c r="F41" t="n">
        <v>926.5599999999999</v>
      </c>
      <c r="G41" t="n">
        <v>0.4845</v>
      </c>
    </row>
    <row r="42">
      <c r="A42" s="45" t="n">
        <v>45978</v>
      </c>
      <c r="B42" t="n">
        <v>92215.14</v>
      </c>
      <c r="C42" t="n">
        <v>3031.44</v>
      </c>
      <c r="D42" t="n">
        <v>130.99</v>
      </c>
      <c r="E42" t="n">
        <v>490.8</v>
      </c>
      <c r="F42" t="n">
        <v>907.36</v>
      </c>
      <c r="G42" t="n">
        <v>0.4663</v>
      </c>
    </row>
    <row r="43">
      <c r="A43" s="45" t="n">
        <v>45979</v>
      </c>
      <c r="B43" t="n">
        <v>92960.83</v>
      </c>
      <c r="C43" t="n">
        <v>3123.66</v>
      </c>
      <c r="D43" t="n">
        <v>140.69</v>
      </c>
      <c r="E43" t="n">
        <v>523.2</v>
      </c>
      <c r="F43" t="n">
        <v>932.79</v>
      </c>
      <c r="G43" t="n">
        <v>0.4752</v>
      </c>
    </row>
    <row r="44">
      <c r="A44" s="45" t="n">
        <v>45980</v>
      </c>
      <c r="B44" t="n">
        <v>91554.96000000001</v>
      </c>
      <c r="C44" t="n">
        <v>3025.48</v>
      </c>
      <c r="D44" t="n">
        <v>137.06</v>
      </c>
      <c r="E44" t="n">
        <v>486.4</v>
      </c>
      <c r="F44" t="n">
        <v>897.77</v>
      </c>
      <c r="G44" t="n">
        <v>0.464</v>
      </c>
    </row>
    <row r="45">
      <c r="A45" s="45" t="n">
        <v>45981</v>
      </c>
      <c r="B45" t="n">
        <v>86637.23</v>
      </c>
      <c r="C45" t="n">
        <v>2834.22</v>
      </c>
      <c r="D45" t="n">
        <v>133.67</v>
      </c>
      <c r="E45" t="n">
        <v>480.8</v>
      </c>
      <c r="F45" t="n">
        <v>866.51</v>
      </c>
      <c r="G45" t="n">
        <v>0.4324</v>
      </c>
    </row>
    <row r="46">
      <c r="A46" s="45" t="n">
        <v>45982</v>
      </c>
      <c r="B46" t="n">
        <v>85129.42999999999</v>
      </c>
      <c r="C46" t="n">
        <v>2765.85</v>
      </c>
      <c r="D46" t="n">
        <v>128.68</v>
      </c>
      <c r="E46" t="n">
        <v>533.5</v>
      </c>
      <c r="F46" t="n">
        <v>830.46</v>
      </c>
      <c r="G46" t="n">
        <v>0.4091</v>
      </c>
    </row>
    <row r="47">
      <c r="A47" s="45" t="n">
        <v>45983</v>
      </c>
      <c r="B47" t="n">
        <v>84739.74000000001</v>
      </c>
      <c r="C47" t="n">
        <v>2770.12</v>
      </c>
      <c r="D47" t="n">
        <v>127.59</v>
      </c>
      <c r="E47" t="n">
        <v>556.7</v>
      </c>
      <c r="F47" t="n">
        <v>833.78</v>
      </c>
      <c r="G47" t="n">
        <v>0.4046</v>
      </c>
    </row>
    <row r="48">
      <c r="A48" s="45" t="n">
        <v>45984</v>
      </c>
      <c r="B48" t="n">
        <v>86830</v>
      </c>
      <c r="C48" t="n">
        <v>2802.16</v>
      </c>
      <c r="D48" t="n">
        <v>130.58</v>
      </c>
      <c r="E48" t="n">
        <v>539.3</v>
      </c>
      <c r="F48" t="n">
        <v>843.6</v>
      </c>
      <c r="G48" t="n">
        <v>0.4085</v>
      </c>
    </row>
    <row r="49">
      <c r="A49" s="45" t="n">
        <v>45985</v>
      </c>
      <c r="B49" t="n">
        <v>88300.00999999999</v>
      </c>
      <c r="C49" t="n">
        <v>2953.38</v>
      </c>
      <c r="D49" t="n">
        <v>138.44</v>
      </c>
      <c r="E49" t="n">
        <v>549.3</v>
      </c>
      <c r="F49" t="n">
        <v>864.92</v>
      </c>
      <c r="G49" t="n">
        <v>0.4276</v>
      </c>
    </row>
    <row r="50">
      <c r="A50" s="45" t="n">
        <v>45986</v>
      </c>
      <c r="B50" t="n">
        <v>87369.96000000001</v>
      </c>
      <c r="C50" t="n">
        <v>2959.36</v>
      </c>
      <c r="D50" t="n">
        <v>138.96</v>
      </c>
      <c r="E50" t="n">
        <v>527.3</v>
      </c>
      <c r="F50" t="n">
        <v>862.5700000000001</v>
      </c>
      <c r="G50" t="n">
        <v>0.4218</v>
      </c>
    </row>
    <row r="51">
      <c r="A51" s="45" t="n">
        <v>45987</v>
      </c>
      <c r="B51" t="n">
        <v>90484.02</v>
      </c>
      <c r="C51" t="n">
        <v>3026.56</v>
      </c>
      <c r="D51" t="n">
        <v>143.02</v>
      </c>
      <c r="E51" t="n">
        <v>543.7</v>
      </c>
      <c r="F51" t="n">
        <v>891.78</v>
      </c>
      <c r="G51" t="n">
        <v>0.4356</v>
      </c>
    </row>
    <row r="52">
      <c r="A52" s="45" t="n">
        <v>45988</v>
      </c>
      <c r="B52" t="n">
        <v>91333.95</v>
      </c>
      <c r="C52" t="n">
        <v>3015.23</v>
      </c>
      <c r="D52" t="n">
        <v>140.85</v>
      </c>
      <c r="E52" t="n">
        <v>532.7</v>
      </c>
      <c r="F52" t="n">
        <v>895.74</v>
      </c>
      <c r="G52" t="n">
        <v>0.4331</v>
      </c>
    </row>
    <row r="53">
      <c r="A53" s="45" t="n">
        <v>45989</v>
      </c>
      <c r="B53" t="n">
        <v>90890.7</v>
      </c>
      <c r="C53" t="n">
        <v>3031.15</v>
      </c>
      <c r="D53" t="n">
        <v>137.33</v>
      </c>
      <c r="E53" t="n">
        <v>548.6</v>
      </c>
      <c r="F53" t="n">
        <v>887.1900000000001</v>
      </c>
      <c r="G53" t="n">
        <v>0.4199</v>
      </c>
    </row>
    <row r="54">
      <c r="A54" s="45" t="n">
        <v>45990</v>
      </c>
      <c r="B54" t="n">
        <v>90802.44</v>
      </c>
      <c r="C54" t="n">
        <v>2989.16</v>
      </c>
      <c r="D54" t="n">
        <v>135.91</v>
      </c>
      <c r="E54" t="n">
        <v>521.5</v>
      </c>
      <c r="F54" t="n">
        <v>872.9</v>
      </c>
      <c r="G54" t="n">
        <v>0.4147</v>
      </c>
    </row>
    <row r="55">
      <c r="A55" s="45" t="n">
        <v>45991</v>
      </c>
      <c r="B55" t="n">
        <v>90360</v>
      </c>
      <c r="C55" t="n">
        <v>2991.26</v>
      </c>
      <c r="D55" t="n">
        <v>133.48</v>
      </c>
      <c r="E55" t="n">
        <v>540.8</v>
      </c>
      <c r="F55" t="n">
        <v>875.3099999999999</v>
      </c>
      <c r="G55" t="n">
        <v>0.4143</v>
      </c>
    </row>
    <row r="56">
      <c r="A56" s="45" t="n">
        <v>45992</v>
      </c>
      <c r="B56" t="n">
        <v>86286.00999999999</v>
      </c>
      <c r="C56" t="n">
        <v>2799.07</v>
      </c>
      <c r="D56" t="n">
        <v>126.66</v>
      </c>
      <c r="E56" t="n">
        <v>523.2</v>
      </c>
      <c r="F56" t="n">
        <v>826.61</v>
      </c>
      <c r="G56" t="n">
        <v>0.3856</v>
      </c>
    </row>
    <row r="57">
      <c r="A57" s="45" t="n">
        <v>45993</v>
      </c>
      <c r="B57" t="n">
        <v>91277.88</v>
      </c>
      <c r="C57" t="n">
        <v>2996.07</v>
      </c>
      <c r="D57" t="n">
        <v>138.68</v>
      </c>
      <c r="E57" t="n">
        <v>545.3</v>
      </c>
      <c r="F57" t="n">
        <v>876.61</v>
      </c>
      <c r="G57" t="n">
        <v>0.4335</v>
      </c>
    </row>
    <row r="58">
      <c r="A58" s="45" t="n">
        <v>45994</v>
      </c>
      <c r="B58" t="n">
        <v>93429.95</v>
      </c>
      <c r="C58" t="n">
        <v>3188.36</v>
      </c>
      <c r="D58" t="n">
        <v>144.67</v>
      </c>
      <c r="E58" t="n">
        <v>590.6</v>
      </c>
      <c r="F58" t="n">
        <v>920.76</v>
      </c>
      <c r="G58" t="n">
        <v>0.4499</v>
      </c>
    </row>
    <row r="59">
      <c r="A59" s="45" t="n">
        <v>45995</v>
      </c>
      <c r="B59" t="n">
        <v>92078.06</v>
      </c>
      <c r="C59" t="n">
        <v>3133.26</v>
      </c>
      <c r="D59" t="n">
        <v>139.01</v>
      </c>
      <c r="E59" t="n">
        <v>574.9</v>
      </c>
      <c r="F59" t="n">
        <v>899.92</v>
      </c>
      <c r="G59" t="n">
        <v>0.4394</v>
      </c>
    </row>
    <row r="60">
      <c r="A60" s="45" t="n">
        <v>45996</v>
      </c>
      <c r="B60" t="n">
        <v>89330.03999999999</v>
      </c>
      <c r="C60" t="n">
        <v>3021.78</v>
      </c>
      <c r="D60" t="n">
        <v>133.29</v>
      </c>
      <c r="E60" t="n">
        <v>559.6</v>
      </c>
      <c r="F60" t="n">
        <v>883.5700000000001</v>
      </c>
      <c r="G60" t="n">
        <v>0.4157</v>
      </c>
    </row>
    <row r="61">
      <c r="A61" s="45" t="n">
        <v>45997</v>
      </c>
      <c r="B61" t="n">
        <v>89236.78999999999</v>
      </c>
      <c r="C61" t="n">
        <v>3038.06</v>
      </c>
      <c r="D61" t="n">
        <v>132.19</v>
      </c>
      <c r="E61" t="n">
        <v>583.5</v>
      </c>
      <c r="F61" t="n">
        <v>890.38</v>
      </c>
      <c r="G61" t="n">
        <v>0.4138</v>
      </c>
    </row>
    <row r="62">
      <c r="A62" s="45" t="n">
        <v>45998</v>
      </c>
      <c r="B62" t="n">
        <v>90395.31</v>
      </c>
      <c r="C62" t="n">
        <v>3059.85</v>
      </c>
      <c r="D62" t="n">
        <v>132.24</v>
      </c>
      <c r="E62" t="n">
        <v>598.5</v>
      </c>
      <c r="F62" t="n">
        <v>894.37</v>
      </c>
      <c r="G62" t="n">
        <v>0.4173</v>
      </c>
    </row>
    <row r="63">
      <c r="A63" s="45" t="n">
        <v>45999</v>
      </c>
      <c r="B63" t="n">
        <v>90634.34</v>
      </c>
      <c r="C63" t="n">
        <v>3124.16</v>
      </c>
      <c r="D63" t="n">
        <v>133.25</v>
      </c>
      <c r="E63" t="n">
        <v>579.1</v>
      </c>
      <c r="F63" t="n">
        <v>897.12</v>
      </c>
      <c r="G63" t="n">
        <v>0.4328</v>
      </c>
    </row>
    <row r="64">
      <c r="A64" s="45" t="n">
        <v>46000</v>
      </c>
      <c r="B64" t="n">
        <v>92678.8</v>
      </c>
      <c r="C64" t="n">
        <v>3318.04</v>
      </c>
      <c r="D64" t="n">
        <v>137.88</v>
      </c>
      <c r="E64" t="n">
        <v>585</v>
      </c>
      <c r="F64" t="n">
        <v>897.3</v>
      </c>
      <c r="G64" t="n">
        <v>0.4697</v>
      </c>
    </row>
    <row r="65">
      <c r="A65" s="45" t="n">
        <v>46001</v>
      </c>
      <c r="B65" t="n">
        <v>92015.37</v>
      </c>
      <c r="C65" t="n">
        <v>3324.14</v>
      </c>
      <c r="D65" t="n">
        <v>136.26</v>
      </c>
      <c r="E65" t="n">
        <v>572.6</v>
      </c>
      <c r="F65" t="n">
        <v>893.4299999999999</v>
      </c>
      <c r="G65" t="n">
        <v>0.4536</v>
      </c>
    </row>
    <row r="66">
      <c r="A66" s="45" t="n">
        <v>46002</v>
      </c>
      <c r="B66" t="n">
        <v>92513.38</v>
      </c>
      <c r="C66" t="n">
        <v>3237.39</v>
      </c>
      <c r="D66" t="n">
        <v>136.41</v>
      </c>
      <c r="E66" t="n">
        <v>574.3</v>
      </c>
      <c r="F66" t="n">
        <v>885.91</v>
      </c>
      <c r="G66" t="n">
        <v>0.4255</v>
      </c>
    </row>
    <row r="67">
      <c r="A67" s="45" t="n">
        <v>46003</v>
      </c>
      <c r="B67" t="n">
        <v>90268.42</v>
      </c>
      <c r="C67" t="n">
        <v>3084.86</v>
      </c>
      <c r="D67" t="n">
        <v>132.27</v>
      </c>
      <c r="E67" t="n">
        <v>581.9</v>
      </c>
      <c r="F67" t="n">
        <v>881.58</v>
      </c>
      <c r="G67" t="n">
        <v>0.4091</v>
      </c>
    </row>
    <row r="68">
      <c r="A68" s="45" t="n">
        <v>46004</v>
      </c>
      <c r="B68" t="n">
        <v>90240.00999999999</v>
      </c>
      <c r="C68" t="n">
        <v>3114.64</v>
      </c>
      <c r="D68" t="n">
        <v>133.14</v>
      </c>
      <c r="E68" t="n">
        <v>579.9</v>
      </c>
      <c r="F68" t="n">
        <v>896.8200000000001</v>
      </c>
      <c r="G68" t="n">
        <v>0.4105</v>
      </c>
    </row>
    <row r="69">
      <c r="A69" s="45" t="n">
        <v>46005</v>
      </c>
      <c r="B69" t="n">
        <v>88172.17</v>
      </c>
      <c r="C69" t="n">
        <v>3063.5</v>
      </c>
      <c r="D69" t="n">
        <v>129.4</v>
      </c>
      <c r="E69" t="n">
        <v>558.3</v>
      </c>
      <c r="F69" t="n">
        <v>877.27</v>
      </c>
      <c r="G69" t="n">
        <v>0.3963</v>
      </c>
    </row>
    <row r="70">
      <c r="A70" s="45" t="n">
        <v>46006</v>
      </c>
      <c r="B70" t="n">
        <v>86432.08</v>
      </c>
      <c r="C70" t="n">
        <v>2964.85</v>
      </c>
      <c r="D70" t="n">
        <v>127.81</v>
      </c>
      <c r="E70" t="n">
        <v>536.1</v>
      </c>
      <c r="F70" t="n">
        <v>858.6</v>
      </c>
      <c r="G70" t="n">
        <v>0.3882</v>
      </c>
    </row>
    <row r="71">
      <c r="A71" s="45" t="n">
        <v>46007</v>
      </c>
      <c r="B71" t="n">
        <v>87863.42</v>
      </c>
      <c r="C71" t="n">
        <v>2962.3</v>
      </c>
      <c r="D71" t="n">
        <v>129.15</v>
      </c>
      <c r="E71" t="n">
        <v>546.3</v>
      </c>
      <c r="F71" t="n">
        <v>875.63</v>
      </c>
      <c r="G71" t="n">
        <v>0.3859</v>
      </c>
    </row>
    <row r="72">
      <c r="A72" s="45" t="n">
        <v>46008</v>
      </c>
      <c r="B72" t="n">
        <v>86243.22</v>
      </c>
      <c r="C72" t="n">
        <v>2833.49</v>
      </c>
      <c r="D72" t="n">
        <v>123.27</v>
      </c>
      <c r="E72" t="n">
        <v>546.7</v>
      </c>
      <c r="F72" t="n">
        <v>843.0700000000001</v>
      </c>
      <c r="G72" t="n">
        <v>0.3673</v>
      </c>
    </row>
    <row r="73">
      <c r="A73" s="45" t="n">
        <v>46009</v>
      </c>
      <c r="B73" t="n">
        <v>85516.41</v>
      </c>
      <c r="C73" t="n">
        <v>2828.57</v>
      </c>
      <c r="D73" t="n">
        <v>119.6</v>
      </c>
      <c r="E73" t="n">
        <v>565.9</v>
      </c>
      <c r="F73" t="n">
        <v>830.0700000000001</v>
      </c>
      <c r="G73" t="n">
        <v>0.3514</v>
      </c>
    </row>
    <row r="74">
      <c r="A74" s="45" t="n">
        <v>46010</v>
      </c>
      <c r="B74" t="n">
        <v>88136.94</v>
      </c>
      <c r="C74" t="n">
        <v>2979.5</v>
      </c>
      <c r="D74" t="n">
        <v>126.27</v>
      </c>
      <c r="E74" t="n">
        <v>624.9</v>
      </c>
      <c r="F74" t="n">
        <v>856.17</v>
      </c>
      <c r="G74" t="n">
        <v>0.3767</v>
      </c>
    </row>
    <row r="75">
      <c r="A75" s="45" t="n">
        <v>46011</v>
      </c>
      <c r="B75" t="n">
        <v>88360.89999999999</v>
      </c>
      <c r="C75" t="n">
        <v>2977.93</v>
      </c>
      <c r="D75" t="n">
        <v>125.81</v>
      </c>
      <c r="E75" t="n">
        <v>592.1</v>
      </c>
      <c r="F75" t="n">
        <v>854.17</v>
      </c>
      <c r="G75" t="n">
        <v>0.373</v>
      </c>
    </row>
    <row r="76">
      <c r="A76" s="45" t="n">
        <v>46012</v>
      </c>
      <c r="B76" t="n">
        <v>88658.86</v>
      </c>
      <c r="C76" t="n">
        <v>3002.02</v>
      </c>
      <c r="D76" t="n">
        <v>126.03</v>
      </c>
      <c r="E76" t="n">
        <v>591.1</v>
      </c>
      <c r="F76" t="n">
        <v>858.64</v>
      </c>
      <c r="G76" t="n">
        <v>0.3662</v>
      </c>
    </row>
    <row r="77">
      <c r="A77" s="45" t="n">
        <v>46013</v>
      </c>
      <c r="B77" t="n">
        <v>88620.78999999999</v>
      </c>
      <c r="C77" t="n">
        <v>3009.49</v>
      </c>
      <c r="D77" t="n">
        <v>125.93</v>
      </c>
      <c r="E77" t="n">
        <v>590.4</v>
      </c>
      <c r="F77" t="n">
        <v>858.66</v>
      </c>
      <c r="G77" t="n">
        <v>0.3711</v>
      </c>
    </row>
    <row r="78">
      <c r="A78" s="45" t="n">
        <v>46014</v>
      </c>
      <c r="B78" t="n">
        <v>87486</v>
      </c>
      <c r="C78" t="n">
        <v>2965.02</v>
      </c>
      <c r="D78" t="n">
        <v>124.01</v>
      </c>
      <c r="E78" t="n">
        <v>572.5</v>
      </c>
      <c r="F78" t="n">
        <v>844.3</v>
      </c>
      <c r="G78" t="n">
        <v>0.3628</v>
      </c>
    </row>
    <row r="79">
      <c r="A79" s="45" t="n">
        <v>46015</v>
      </c>
      <c r="B79" t="n">
        <v>87669.45</v>
      </c>
      <c r="C79" t="n">
        <v>2947.47</v>
      </c>
      <c r="D79" t="n">
        <v>122.53</v>
      </c>
      <c r="E79" t="n">
        <v>568.7</v>
      </c>
      <c r="F79" t="n">
        <v>846.58</v>
      </c>
      <c r="G79" t="n">
        <v>0.3566</v>
      </c>
    </row>
    <row r="80">
      <c r="A80" s="45" t="n">
        <v>46016</v>
      </c>
      <c r="B80" t="n">
        <v>87225.27</v>
      </c>
      <c r="C80" t="n">
        <v>2903.95</v>
      </c>
      <c r="D80" t="n">
        <v>120.06</v>
      </c>
      <c r="E80" t="n">
        <v>589.8</v>
      </c>
      <c r="F80" t="n">
        <v>829.64</v>
      </c>
      <c r="G80" t="n">
        <v>0.3434</v>
      </c>
    </row>
    <row r="81">
      <c r="A81" s="45" t="n">
        <v>46017</v>
      </c>
      <c r="B81" t="n">
        <v>87369.56</v>
      </c>
      <c r="C81" t="n">
        <v>2927.99</v>
      </c>
      <c r="D81" t="n">
        <v>122.26</v>
      </c>
      <c r="E81" t="n">
        <v>594.9</v>
      </c>
      <c r="F81" t="n">
        <v>834.72</v>
      </c>
      <c r="G81" t="n">
        <v>0.3496</v>
      </c>
    </row>
    <row r="82">
      <c r="A82" s="45" t="n">
        <v>46018</v>
      </c>
      <c r="B82" t="n">
        <v>87877.00999999999</v>
      </c>
      <c r="C82" t="n">
        <v>2949.05</v>
      </c>
      <c r="D82" t="n">
        <v>124.73</v>
      </c>
      <c r="E82" t="n">
        <v>623.4</v>
      </c>
      <c r="F82" t="n">
        <v>845.04</v>
      </c>
      <c r="G82" t="n">
        <v>0.37</v>
      </c>
    </row>
    <row r="83">
      <c r="A83" s="45" t="n">
        <v>46019</v>
      </c>
      <c r="B83" t="n">
        <v>87952.71000000001</v>
      </c>
      <c r="C83" t="n">
        <v>2950.91</v>
      </c>
      <c r="D83" t="n">
        <v>125.27</v>
      </c>
      <c r="E83" t="n">
        <v>622.4</v>
      </c>
      <c r="F83" t="n">
        <v>859.3200000000001</v>
      </c>
      <c r="G83" t="n">
        <v>0.3688</v>
      </c>
    </row>
    <row r="84">
      <c r="A84" s="45" t="n">
        <v>46020</v>
      </c>
      <c r="B84" t="n">
        <v>87237.13</v>
      </c>
      <c r="C84" t="n">
        <v>2937.9</v>
      </c>
      <c r="D84" t="n">
        <v>123.28</v>
      </c>
      <c r="E84" t="n">
        <v>599.2</v>
      </c>
      <c r="F84" t="n">
        <v>852.46</v>
      </c>
      <c r="G84" t="n">
        <v>0.3532</v>
      </c>
    </row>
    <row r="85">
      <c r="A85" s="45" t="n">
        <v>46021</v>
      </c>
      <c r="B85" t="n">
        <v>88485.49000000001</v>
      </c>
      <c r="C85" t="n">
        <v>2973.69</v>
      </c>
      <c r="D85" t="n">
        <v>125.01</v>
      </c>
      <c r="E85" t="n">
        <v>595.8</v>
      </c>
      <c r="F85" t="n">
        <v>861.65</v>
      </c>
      <c r="G85" t="n">
        <v>0.3514</v>
      </c>
    </row>
    <row r="86">
      <c r="A86" s="45" t="n">
        <v>46022</v>
      </c>
      <c r="B86" t="n">
        <v>87648.22</v>
      </c>
      <c r="C86" t="n">
        <v>2971.64</v>
      </c>
      <c r="D86" t="n">
        <v>124.65</v>
      </c>
      <c r="E86" t="n">
        <v>599.5</v>
      </c>
      <c r="F86" t="n">
        <v>864.3</v>
      </c>
      <c r="G86" t="n">
        <v>0.3335</v>
      </c>
    </row>
    <row r="87">
      <c r="A87" s="45" t="n">
        <v>46023</v>
      </c>
      <c r="B87" t="n">
        <v>88839.03999999999</v>
      </c>
      <c r="C87" t="n">
        <v>3004.19</v>
      </c>
      <c r="D87" t="n">
        <v>126.9</v>
      </c>
      <c r="E87" t="n">
        <v>593.2</v>
      </c>
      <c r="F87" t="n">
        <v>864.39</v>
      </c>
      <c r="G87" t="n">
        <v>0.3565</v>
      </c>
    </row>
    <row r="88">
      <c r="A88" s="45" t="n">
        <v>46024</v>
      </c>
      <c r="B88" t="n">
        <v>89995.13</v>
      </c>
      <c r="C88" t="n">
        <v>3125.45</v>
      </c>
      <c r="D88" t="n">
        <v>132.29</v>
      </c>
      <c r="E88" t="n">
        <v>609.8</v>
      </c>
      <c r="F88" t="n">
        <v>881.25</v>
      </c>
      <c r="G88" t="n">
        <v>0.3949</v>
      </c>
    </row>
    <row r="89">
      <c r="A89" s="45" t="n">
        <v>46025</v>
      </c>
      <c r="B89" t="n">
        <v>90628.00999999999</v>
      </c>
      <c r="C89" t="n">
        <v>3127.11</v>
      </c>
      <c r="D89" t="n">
        <v>133.37</v>
      </c>
      <c r="E89" t="n">
        <v>654.5</v>
      </c>
      <c r="F89" t="n">
        <v>878.63</v>
      </c>
      <c r="G89" t="n">
        <v>0.3893</v>
      </c>
    </row>
    <row r="90">
      <c r="A90" s="45" t="n">
        <v>46026</v>
      </c>
      <c r="B90" t="n">
        <v>91529.73</v>
      </c>
      <c r="C90" t="n">
        <v>3144.7</v>
      </c>
      <c r="D90" t="n">
        <v>134.12</v>
      </c>
      <c r="E90" t="n">
        <v>639.1</v>
      </c>
      <c r="F90" t="n">
        <v>895.4299999999999</v>
      </c>
      <c r="G90" t="n">
        <v>0.4007</v>
      </c>
    </row>
    <row r="91">
      <c r="A91" s="45" t="n">
        <v>46027</v>
      </c>
      <c r="B91" t="n">
        <v>93859.71000000001</v>
      </c>
      <c r="C91" t="n">
        <v>3224.99</v>
      </c>
      <c r="D91" t="n">
        <v>137.9</v>
      </c>
      <c r="E91" t="n">
        <v>645.2</v>
      </c>
      <c r="F91" t="n">
        <v>910.3099999999999</v>
      </c>
      <c r="G91" t="n">
        <v>0.4211</v>
      </c>
    </row>
    <row r="92">
      <c r="A92" s="45" t="n">
        <v>46028</v>
      </c>
      <c r="B92" t="n">
        <v>93747.97</v>
      </c>
      <c r="C92" t="n">
        <v>3296.84</v>
      </c>
      <c r="D92" t="n">
        <v>141.08</v>
      </c>
      <c r="E92" t="n">
        <v>638.2</v>
      </c>
      <c r="F92" t="n">
        <v>917.64</v>
      </c>
      <c r="G92" t="n">
        <v>0.4194</v>
      </c>
    </row>
    <row r="93">
      <c r="A93" s="45" t="n">
        <v>46029</v>
      </c>
      <c r="B93" t="n">
        <v>91364.16</v>
      </c>
      <c r="C93" t="n">
        <v>3168.72</v>
      </c>
      <c r="D93" t="n">
        <v>136.39</v>
      </c>
      <c r="E93" t="n">
        <v>629.2</v>
      </c>
      <c r="F93" t="n">
        <v>900.3</v>
      </c>
      <c r="G93" t="n">
        <v>0.4022</v>
      </c>
    </row>
    <row r="94">
      <c r="A94" s="45" t="n">
        <v>46030</v>
      </c>
      <c r="B94" t="n">
        <v>91099.99000000001</v>
      </c>
      <c r="C94" t="n">
        <v>3106.65</v>
      </c>
      <c r="D94" t="n">
        <v>138.37</v>
      </c>
      <c r="E94" t="n">
        <v>632</v>
      </c>
      <c r="F94" t="n">
        <v>892.26</v>
      </c>
      <c r="G94" t="n">
        <v>0.3956</v>
      </c>
    </row>
    <row r="95">
      <c r="A95" s="45" t="n">
        <v>46031</v>
      </c>
      <c r="B95" t="n">
        <v>90641.28</v>
      </c>
      <c r="C95" t="n">
        <v>3088.4</v>
      </c>
      <c r="D95" t="n">
        <v>135.97</v>
      </c>
      <c r="E95" t="n">
        <v>634.7</v>
      </c>
      <c r="F95" t="n">
        <v>896.86</v>
      </c>
      <c r="G95" t="n">
        <v>0.3914</v>
      </c>
    </row>
    <row r="96">
      <c r="A96" s="45" t="n">
        <v>46032</v>
      </c>
      <c r="B96" t="n">
        <v>90504.7</v>
      </c>
      <c r="C96" t="n">
        <v>3086.72</v>
      </c>
      <c r="D96" t="n">
        <v>135.84</v>
      </c>
      <c r="E96" t="n">
        <v>643.9</v>
      </c>
      <c r="F96" t="n">
        <v>907.9299999999999</v>
      </c>
      <c r="G96" t="n">
        <v>0.3886</v>
      </c>
    </row>
    <row r="97">
      <c r="A97" s="45" t="n">
        <v>46033</v>
      </c>
      <c r="B97" t="n">
        <v>91013.64999999999</v>
      </c>
      <c r="C97" t="n">
        <v>3123.45</v>
      </c>
      <c r="D97" t="n">
        <v>139.7</v>
      </c>
      <c r="E97" t="n">
        <v>649.1</v>
      </c>
      <c r="F97" t="n">
        <v>904.3200000000001</v>
      </c>
      <c r="G97" t="n">
        <v>0.391</v>
      </c>
    </row>
    <row r="98">
      <c r="A98" s="45" t="n">
        <v>46034</v>
      </c>
      <c r="B98" t="n">
        <v>91296.2</v>
      </c>
      <c r="C98" t="n">
        <v>3095.75</v>
      </c>
      <c r="D98" t="n">
        <v>139.22</v>
      </c>
      <c r="E98" t="n">
        <v>621.7</v>
      </c>
      <c r="F98" t="n">
        <v>905.78</v>
      </c>
      <c r="G98" t="n">
        <v>0.3862</v>
      </c>
    </row>
    <row r="99">
      <c r="A99" s="45" t="n">
        <v>46035</v>
      </c>
      <c r="B99" t="n">
        <v>95414</v>
      </c>
      <c r="C99" t="n">
        <v>3325.82</v>
      </c>
      <c r="D99" t="n">
        <v>145.51</v>
      </c>
      <c r="E99" t="n">
        <v>617</v>
      </c>
      <c r="F99" t="n">
        <v>943.73</v>
      </c>
      <c r="G99" t="n">
        <v>0.4218</v>
      </c>
    </row>
    <row r="100">
      <c r="A100" s="45" t="n">
        <v>46036</v>
      </c>
      <c r="B100" t="n">
        <v>96951.78</v>
      </c>
      <c r="C100" t="n">
        <v>3354.92</v>
      </c>
      <c r="D100" t="n">
        <v>146.69</v>
      </c>
      <c r="E100" t="n">
        <v>597.4</v>
      </c>
      <c r="F100" t="n">
        <v>948.47</v>
      </c>
      <c r="G100" t="n">
        <v>0.4143</v>
      </c>
    </row>
    <row r="101">
      <c r="A101" s="45" t="n">
        <v>46037</v>
      </c>
      <c r="B101" t="n">
        <v>95604.8</v>
      </c>
      <c r="C101" t="n">
        <v>3318.69</v>
      </c>
      <c r="D101" t="n">
        <v>142.4</v>
      </c>
      <c r="E101" t="n">
        <v>590.8</v>
      </c>
      <c r="F101" t="n">
        <v>931.2</v>
      </c>
      <c r="G101" t="n">
        <v>0.3936</v>
      </c>
    </row>
    <row r="102">
      <c r="A102" s="45" t="n">
        <v>46038</v>
      </c>
      <c r="B102" t="n">
        <v>95550.94</v>
      </c>
      <c r="C102" t="n">
        <v>3296.28</v>
      </c>
      <c r="D102" t="n">
        <v>144.89</v>
      </c>
      <c r="E102" t="n">
        <v>599.5</v>
      </c>
      <c r="F102" t="n">
        <v>938.16</v>
      </c>
      <c r="G102" t="n">
        <v>0.3955</v>
      </c>
    </row>
    <row r="103">
      <c r="A103" s="45" t="n">
        <v>46039</v>
      </c>
      <c r="B103" t="n">
        <v>95147.77</v>
      </c>
      <c r="C103" t="n">
        <v>3310.56</v>
      </c>
      <c r="D103" t="n">
        <v>143.72</v>
      </c>
      <c r="E103" t="n">
        <v>594.1</v>
      </c>
      <c r="F103" t="n">
        <v>947.12</v>
      </c>
      <c r="G103" t="n">
        <v>0.3973</v>
      </c>
    </row>
    <row r="104">
      <c r="A104" s="45" t="n">
        <v>46040</v>
      </c>
      <c r="B104" t="n">
        <v>93673.14</v>
      </c>
      <c r="C104" t="n">
        <v>3284.03</v>
      </c>
      <c r="D104" t="n">
        <v>137.87</v>
      </c>
      <c r="E104" t="n">
        <v>591.4</v>
      </c>
      <c r="F104" t="n">
        <v>932.51</v>
      </c>
      <c r="G104" t="n">
        <v>0.3758</v>
      </c>
    </row>
    <row r="105">
      <c r="A105" s="45" t="n">
        <v>46041</v>
      </c>
      <c r="B105" t="n">
        <v>92631</v>
      </c>
      <c r="C105" t="n">
        <v>3189.55</v>
      </c>
      <c r="D105" t="n">
        <v>133.44</v>
      </c>
      <c r="E105" t="n">
        <v>584</v>
      </c>
      <c r="F105" t="n">
        <v>923.6</v>
      </c>
      <c r="G105" t="n">
        <v>0.3703</v>
      </c>
    </row>
    <row r="106">
      <c r="A106" s="45" t="n">
        <v>46042</v>
      </c>
      <c r="B106" t="n">
        <v>88427.66</v>
      </c>
      <c r="C106" t="n">
        <v>2939.88</v>
      </c>
      <c r="D106" t="n">
        <v>125.8</v>
      </c>
      <c r="E106" t="n">
        <v>573.2</v>
      </c>
      <c r="F106" t="n">
        <v>884.2</v>
      </c>
      <c r="G106" t="n">
        <v>0.3507</v>
      </c>
    </row>
    <row r="107">
      <c r="A107" s="45" t="n">
        <v>46043</v>
      </c>
      <c r="B107" t="n">
        <v>89454.73</v>
      </c>
      <c r="C107" t="n">
        <v>2982.27</v>
      </c>
      <c r="D107" t="n">
        <v>129.54</v>
      </c>
      <c r="E107" t="n">
        <v>584.8</v>
      </c>
      <c r="F107" t="n">
        <v>883.36</v>
      </c>
      <c r="G107" t="n">
        <v>0.3659</v>
      </c>
    </row>
    <row r="108">
      <c r="A108" s="45" t="n">
        <v>46044</v>
      </c>
      <c r="B108" t="n">
        <v>89559.67</v>
      </c>
      <c r="C108" t="n">
        <v>2952.69</v>
      </c>
      <c r="D108" t="n">
        <v>128.47</v>
      </c>
      <c r="E108" t="n">
        <v>599.2</v>
      </c>
      <c r="F108" t="n">
        <v>888.0599999999999</v>
      </c>
      <c r="G108" t="n">
        <v>0.3594</v>
      </c>
    </row>
    <row r="109">
      <c r="A109" s="45" t="n">
        <v>46045</v>
      </c>
      <c r="B109" t="n">
        <v>89600.25999999999</v>
      </c>
      <c r="C109" t="n">
        <v>2956.41</v>
      </c>
      <c r="D109" t="n">
        <v>127.43</v>
      </c>
      <c r="E109" t="n">
        <v>595.7</v>
      </c>
      <c r="F109" t="n">
        <v>891.63</v>
      </c>
      <c r="G109" t="n">
        <v>0.3602</v>
      </c>
    </row>
    <row r="110">
      <c r="A110" s="45" t="n">
        <v>46046</v>
      </c>
      <c r="B110" t="n">
        <v>89225.34</v>
      </c>
      <c r="C110" t="n">
        <v>2953.22</v>
      </c>
      <c r="D110" t="n">
        <v>127.21</v>
      </c>
      <c r="E110" t="n">
        <v>593.6</v>
      </c>
      <c r="F110" t="n">
        <v>887.17</v>
      </c>
      <c r="G110" t="n">
        <v>0.3583</v>
      </c>
    </row>
    <row r="111">
      <c r="A111" s="45" t="n">
        <v>46047</v>
      </c>
      <c r="B111" t="n">
        <v>86670.36</v>
      </c>
      <c r="C111" t="n">
        <v>2816.89</v>
      </c>
      <c r="D111" t="n">
        <v>118.85</v>
      </c>
      <c r="E111" t="n">
        <v>572.2</v>
      </c>
      <c r="F111" t="n">
        <v>866.02</v>
      </c>
      <c r="G111" t="n">
        <v>0.3391</v>
      </c>
    </row>
    <row r="112">
      <c r="A112" s="45" t="n">
        <v>46048</v>
      </c>
      <c r="B112" t="n">
        <v>88347.08</v>
      </c>
      <c r="C112" t="n">
        <v>2930.35</v>
      </c>
      <c r="D112" t="n">
        <v>124.24</v>
      </c>
      <c r="E112" t="n">
        <v>578.7</v>
      </c>
      <c r="F112" t="n">
        <v>879.41</v>
      </c>
      <c r="G112" t="n">
        <v>0.3521</v>
      </c>
    </row>
    <row r="113">
      <c r="A113" s="45" t="n">
        <v>46049</v>
      </c>
      <c r="B113" t="n">
        <v>89250</v>
      </c>
      <c r="C113" t="n">
        <v>3026.77</v>
      </c>
      <c r="D113" t="n">
        <v>127.19</v>
      </c>
      <c r="E113" t="n">
        <v>600.2</v>
      </c>
      <c r="F113" t="n">
        <v>898.36</v>
      </c>
      <c r="G113" t="n">
        <v>0.3608</v>
      </c>
    </row>
    <row r="114">
      <c r="A114" s="45" t="n">
        <v>46050</v>
      </c>
      <c r="B114" t="n">
        <v>89299.99000000001</v>
      </c>
      <c r="C114" t="n">
        <v>3010.78</v>
      </c>
      <c r="D114" t="n">
        <v>125.35</v>
      </c>
      <c r="E114" t="n">
        <v>591.1</v>
      </c>
      <c r="F114" t="n">
        <v>902.91</v>
      </c>
      <c r="G114" t="n">
        <v>0.3583</v>
      </c>
    </row>
    <row r="115">
      <c r="A115" s="45" t="n">
        <v>46051</v>
      </c>
      <c r="B115" t="n">
        <v>84650.16</v>
      </c>
      <c r="C115" t="n">
        <v>2822.59</v>
      </c>
      <c r="D115" t="n">
        <v>117.82</v>
      </c>
      <c r="E115" t="n">
        <v>554.1</v>
      </c>
      <c r="F115" t="n">
        <v>868.6900000000001</v>
      </c>
      <c r="G115" t="n">
        <v>0.3347</v>
      </c>
    </row>
    <row r="116">
      <c r="A116" s="45" t="n">
        <v>46052</v>
      </c>
      <c r="B116" t="n">
        <v>84260.49000000001</v>
      </c>
      <c r="C116" t="n">
        <v>2707.38</v>
      </c>
      <c r="D116" t="n">
        <v>117.59</v>
      </c>
      <c r="E116" t="n">
        <v>553.2</v>
      </c>
      <c r="F116" t="n">
        <v>858.8099999999999</v>
      </c>
      <c r="G116" t="n">
        <v>0.3208</v>
      </c>
    </row>
    <row r="117">
      <c r="A117" s="45" t="n">
        <v>46053</v>
      </c>
      <c r="B117" t="n">
        <v>78741.09</v>
      </c>
      <c r="C117" t="n">
        <v>2451.95</v>
      </c>
      <c r="D117" t="n">
        <v>105.58</v>
      </c>
      <c r="E117" t="n">
        <v>507.5</v>
      </c>
      <c r="F117" t="n">
        <v>781.38</v>
      </c>
      <c r="G117" t="n">
        <v>0.2936</v>
      </c>
    </row>
    <row r="118">
      <c r="A118" s="45" t="n">
        <v>46054</v>
      </c>
      <c r="B118" t="n">
        <v>76968.21000000001</v>
      </c>
      <c r="C118" t="n">
        <v>2270.15</v>
      </c>
      <c r="D118" t="n">
        <v>100.79</v>
      </c>
      <c r="E118" t="n">
        <v>516.2</v>
      </c>
      <c r="F118" t="n">
        <v>758.54</v>
      </c>
      <c r="G118" t="n">
        <v>0.2858</v>
      </c>
    </row>
    <row r="119">
      <c r="A119" s="45" t="n">
        <v>46055</v>
      </c>
      <c r="B119" t="n">
        <v>78738.61</v>
      </c>
      <c r="C119" t="n">
        <v>2347.02</v>
      </c>
      <c r="D119" t="n">
        <v>104.55</v>
      </c>
      <c r="E119" t="n">
        <v>539.7</v>
      </c>
      <c r="F119" t="n">
        <v>773.9400000000001</v>
      </c>
      <c r="G119" t="n">
        <v>0.2991</v>
      </c>
    </row>
    <row r="120">
      <c r="A120" s="45" t="n">
        <v>46056</v>
      </c>
      <c r="B120" t="n">
        <v>75770.21000000001</v>
      </c>
      <c r="C120" t="n">
        <v>2233.72</v>
      </c>
      <c r="D120" t="n">
        <v>97.89</v>
      </c>
      <c r="E120" t="n">
        <v>527.1</v>
      </c>
      <c r="F120" t="n">
        <v>754.78</v>
      </c>
      <c r="G120" t="n">
        <v>0.2917</v>
      </c>
    </row>
    <row r="121">
      <c r="A121" s="45" t="n">
        <v>46057</v>
      </c>
      <c r="B121" t="n">
        <v>73165.83</v>
      </c>
      <c r="C121" t="n">
        <v>2148.26</v>
      </c>
      <c r="D121" t="n">
        <v>92.12</v>
      </c>
      <c r="E121" t="n">
        <v>532.5</v>
      </c>
      <c r="F121" t="n">
        <v>697.27</v>
      </c>
      <c r="G121" t="n">
        <v>0.2864</v>
      </c>
    </row>
    <row r="122">
      <c r="A122" s="45" t="n">
        <v>46058</v>
      </c>
      <c r="B122" t="n">
        <v>62909.86</v>
      </c>
      <c r="C122" t="n">
        <v>1826.83</v>
      </c>
      <c r="D122" t="n">
        <v>78.34999999999999</v>
      </c>
      <c r="E122" t="n">
        <v>453.9</v>
      </c>
      <c r="F122" t="n">
        <v>608.3</v>
      </c>
      <c r="G122" t="n">
        <v>0.2455</v>
      </c>
    </row>
    <row r="123">
      <c r="A123" s="45" t="n">
        <v>46059</v>
      </c>
      <c r="B123" t="n">
        <v>70580.25999999999</v>
      </c>
      <c r="C123" t="n">
        <v>2063.38</v>
      </c>
      <c r="D123" t="n">
        <v>87.45999999999999</v>
      </c>
      <c r="E123" t="n">
        <v>523.2</v>
      </c>
      <c r="F123" t="n">
        <v>657.21</v>
      </c>
      <c r="G123" t="n">
        <v>0.2762</v>
      </c>
    </row>
    <row r="124">
      <c r="A124" s="45" t="n">
        <v>46060</v>
      </c>
      <c r="B124" t="n">
        <v>69289.38</v>
      </c>
      <c r="C124" t="n">
        <v>2087.08</v>
      </c>
      <c r="D124" t="n">
        <v>87.59</v>
      </c>
      <c r="E124" t="n">
        <v>525.1</v>
      </c>
      <c r="F124" t="n">
        <v>647</v>
      </c>
      <c r="G124" t="n">
        <v>0.2721</v>
      </c>
    </row>
    <row r="125">
      <c r="A125" s="45" t="n">
        <v>46061</v>
      </c>
      <c r="B125" t="n">
        <v>70330.38</v>
      </c>
      <c r="C125" t="n">
        <v>2089.74</v>
      </c>
      <c r="D125" t="n">
        <v>86.98999999999999</v>
      </c>
      <c r="E125" t="n">
        <v>527</v>
      </c>
      <c r="F125" t="n">
        <v>639.9299999999999</v>
      </c>
      <c r="G125" t="n">
        <v>0.2701</v>
      </c>
    </row>
    <row r="126">
      <c r="A126" s="45" t="n">
        <v>46062</v>
      </c>
      <c r="B126" t="n">
        <v>70138</v>
      </c>
      <c r="C126" t="n">
        <v>2105.02</v>
      </c>
      <c r="D126" t="n">
        <v>86.77</v>
      </c>
      <c r="E126" t="n">
        <v>533</v>
      </c>
      <c r="F126" t="n">
        <v>636.39</v>
      </c>
      <c r="G126" t="n">
        <v>0.2699</v>
      </c>
    </row>
    <row r="127">
      <c r="A127" s="45" t="n">
        <v>46063</v>
      </c>
      <c r="B127" t="n">
        <v>68841.28999999999</v>
      </c>
      <c r="C127" t="n">
        <v>2022.67</v>
      </c>
      <c r="D127" t="n">
        <v>82.98999999999999</v>
      </c>
      <c r="E127" t="n">
        <v>524.3</v>
      </c>
      <c r="F127" t="n">
        <v>619.85</v>
      </c>
      <c r="G127" t="n">
        <v>0.262</v>
      </c>
    </row>
    <row r="128">
      <c r="A128" s="45" t="n">
        <v>46064</v>
      </c>
      <c r="B128" t="n">
        <v>67082.52</v>
      </c>
      <c r="C128" t="n">
        <v>1941.18</v>
      </c>
      <c r="D128" t="n">
        <v>79.3</v>
      </c>
      <c r="E128" t="n">
        <v>516.2</v>
      </c>
      <c r="F128" t="n">
        <v>608.11</v>
      </c>
      <c r="G128" t="n">
        <v>0.2559</v>
      </c>
    </row>
    <row r="129">
      <c r="A129" s="45" t="n">
        <v>46065</v>
      </c>
      <c r="B129" t="n">
        <v>66272.17</v>
      </c>
      <c r="C129" t="n">
        <v>1947.85</v>
      </c>
      <c r="D129" t="n">
        <v>78.40000000000001</v>
      </c>
      <c r="E129" t="n">
        <v>503</v>
      </c>
      <c r="F129" t="n">
        <v>614.29</v>
      </c>
      <c r="G129" t="n">
        <v>0.2643</v>
      </c>
    </row>
    <row r="130">
      <c r="A130" s="45" t="n">
        <v>46066</v>
      </c>
      <c r="B130" t="n">
        <v>68853.96000000001</v>
      </c>
      <c r="C130" t="n">
        <v>2048.72</v>
      </c>
      <c r="D130" t="n">
        <v>84.33</v>
      </c>
      <c r="E130" t="n">
        <v>563.9</v>
      </c>
      <c r="F130" t="n">
        <v>618.9400000000001</v>
      </c>
      <c r="G130" t="n">
        <v>0.2728</v>
      </c>
    </row>
    <row r="131">
      <c r="A131" s="45" t="n">
        <v>46067</v>
      </c>
      <c r="B131" t="n">
        <v>69822.95</v>
      </c>
      <c r="C131" t="n">
        <v>2086.59</v>
      </c>
      <c r="D131" t="n">
        <v>88.06</v>
      </c>
      <c r="E131" t="n">
        <v>562.9</v>
      </c>
      <c r="F131" t="n">
        <v>632.77</v>
      </c>
      <c r="G131" t="n">
        <v>0.295</v>
      </c>
    </row>
    <row r="132">
      <c r="A132" s="45" t="n">
        <v>46068</v>
      </c>
      <c r="B132" t="n">
        <v>68832.58</v>
      </c>
      <c r="C132" t="n">
        <v>1966.58</v>
      </c>
      <c r="D132" t="n">
        <v>86.16</v>
      </c>
      <c r="E132" t="n">
        <v>553.5</v>
      </c>
      <c r="F132" t="n">
        <v>615.16</v>
      </c>
      <c r="G132" t="n">
        <v>0.2818</v>
      </c>
    </row>
    <row r="133">
      <c r="A133" s="45" t="n">
        <v>46069</v>
      </c>
      <c r="B133" t="n">
        <v>68892.42999999999</v>
      </c>
      <c r="C133" t="n">
        <v>1998.33</v>
      </c>
      <c r="D133" t="n">
        <v>86.45</v>
      </c>
      <c r="E133" t="n">
        <v>569.2</v>
      </c>
      <c r="F133" t="n">
        <v>627.1900000000001</v>
      </c>
      <c r="G133" t="n">
        <v>0.2858</v>
      </c>
    </row>
    <row r="134">
      <c r="A134" s="45" t="n">
        <v>46070</v>
      </c>
      <c r="B134" t="n">
        <v>67503.52</v>
      </c>
      <c r="C134" t="n">
        <v>1991.66</v>
      </c>
      <c r="D134" t="n">
        <v>85.08</v>
      </c>
      <c r="E134" t="n">
        <v>563.4</v>
      </c>
      <c r="F134" t="n">
        <v>617.74</v>
      </c>
      <c r="G134" t="n">
        <v>0.2811</v>
      </c>
    </row>
    <row r="135">
      <c r="A135" s="45" t="n">
        <v>46071</v>
      </c>
      <c r="B135" t="n">
        <v>66461</v>
      </c>
      <c r="C135" t="n">
        <v>1955.91</v>
      </c>
      <c r="D135" t="n">
        <v>81.61</v>
      </c>
      <c r="E135" t="n">
        <v>558</v>
      </c>
      <c r="F135" t="n">
        <v>604.8</v>
      </c>
      <c r="G135" t="n">
        <v>0.2735</v>
      </c>
    </row>
    <row r="136">
      <c r="A136" s="45" t="n">
        <v>46072</v>
      </c>
      <c r="B136" t="n">
        <v>67003.73</v>
      </c>
      <c r="C136" t="n">
        <v>1949.08</v>
      </c>
      <c r="D136" t="n">
        <v>82.5</v>
      </c>
      <c r="E136" t="n">
        <v>560.4</v>
      </c>
      <c r="F136" t="n">
        <v>607.83</v>
      </c>
      <c r="G136" t="n">
        <v>0.2729</v>
      </c>
    </row>
    <row r="137">
      <c r="A137" s="45" t="n">
        <v>46073</v>
      </c>
      <c r="B137" t="n">
        <v>68020.00999999999</v>
      </c>
      <c r="C137" t="n">
        <v>1968.88</v>
      </c>
      <c r="D137" t="n">
        <v>84.67</v>
      </c>
      <c r="E137" t="n">
        <v>562.4</v>
      </c>
      <c r="F137" t="n">
        <v>625.91</v>
      </c>
      <c r="G137" t="n">
        <v>0.2849</v>
      </c>
    </row>
    <row r="138">
      <c r="A138" s="45" t="n">
        <v>46074</v>
      </c>
      <c r="B138" t="n">
        <v>67975.92999999999</v>
      </c>
      <c r="C138" t="n">
        <v>1973.35</v>
      </c>
      <c r="D138" t="n">
        <v>85.17</v>
      </c>
      <c r="E138" t="n">
        <v>564.1</v>
      </c>
      <c r="F138" t="n">
        <v>625.61</v>
      </c>
      <c r="G138" t="n">
        <v>0.28</v>
      </c>
    </row>
    <row r="139">
      <c r="A139" s="45" t="n">
        <v>46075</v>
      </c>
      <c r="B139" t="n">
        <v>67643.39999999999</v>
      </c>
      <c r="C139" t="n">
        <v>1957.82</v>
      </c>
      <c r="D139" t="n">
        <v>82.79000000000001</v>
      </c>
      <c r="E139" t="n">
        <v>570.7</v>
      </c>
      <c r="F139" t="n">
        <v>614.8</v>
      </c>
      <c r="G139" t="n">
        <v>0.2717</v>
      </c>
    </row>
    <row r="140">
      <c r="A140" s="45" t="n">
        <v>46076</v>
      </c>
      <c r="B140" t="n">
        <v>64656.02</v>
      </c>
      <c r="C140" t="n">
        <v>1856.3</v>
      </c>
      <c r="D140" t="n">
        <v>77.90000000000001</v>
      </c>
      <c r="E140" t="n">
        <v>495.8</v>
      </c>
      <c r="F140" t="n">
        <v>596.41</v>
      </c>
      <c r="G140" t="n">
        <v>0.2623</v>
      </c>
    </row>
    <row r="141">
      <c r="A141" s="45" t="n">
        <v>46077</v>
      </c>
      <c r="B141" t="n">
        <v>64058.15</v>
      </c>
      <c r="C141" t="n">
        <v>1851.94</v>
      </c>
      <c r="D141" t="n">
        <v>78.98999999999999</v>
      </c>
      <c r="E141" t="n">
        <v>484.8</v>
      </c>
      <c r="F141" t="n">
        <v>583.6</v>
      </c>
      <c r="G141" t="n">
        <v>0.2587</v>
      </c>
    </row>
    <row r="142">
      <c r="A142" s="45" t="n">
        <v>46078</v>
      </c>
      <c r="B142" t="n">
        <v>67988.03999999999</v>
      </c>
      <c r="C142" t="n">
        <v>2057.48</v>
      </c>
      <c r="D142" t="n">
        <v>88.06</v>
      </c>
      <c r="E142" t="n">
        <v>492.9</v>
      </c>
      <c r="F142" t="n">
        <v>629.42</v>
      </c>
      <c r="G142" t="n">
        <v>0.2971</v>
      </c>
    </row>
    <row r="143">
      <c r="A143" s="45" t="n">
        <v>46079</v>
      </c>
      <c r="B143" t="n">
        <v>67485.17999999999</v>
      </c>
      <c r="C143" t="n">
        <v>2027.68</v>
      </c>
      <c r="D143" t="n">
        <v>85.91</v>
      </c>
      <c r="E143" t="n">
        <v>478.4</v>
      </c>
      <c r="F143" t="n">
        <v>625.74</v>
      </c>
      <c r="G143" t="n">
        <v>0.287</v>
      </c>
    </row>
    <row r="144">
      <c r="A144" s="45" t="n">
        <v>46080</v>
      </c>
      <c r="B144" t="n">
        <v>65872.10000000001</v>
      </c>
      <c r="C144" t="n">
        <v>1929.84</v>
      </c>
      <c r="D144" t="n">
        <v>81.84999999999999</v>
      </c>
      <c r="E144" t="n">
        <v>461.5</v>
      </c>
      <c r="F144" t="n">
        <v>614.03</v>
      </c>
      <c r="G144" t="n">
        <v>0.2776</v>
      </c>
    </row>
    <row r="145">
      <c r="A145" s="45" t="n">
        <v>46081</v>
      </c>
      <c r="B145" t="n">
        <v>66973.25999999999</v>
      </c>
      <c r="C145" t="n">
        <v>1964.51</v>
      </c>
      <c r="D145" t="n">
        <v>84.34999999999999</v>
      </c>
      <c r="E145" t="n">
        <v>457.6</v>
      </c>
      <c r="F145" t="n">
        <v>617.14</v>
      </c>
      <c r="G145" t="n">
        <v>0.281</v>
      </c>
    </row>
    <row r="146">
      <c r="A146" s="45" t="n">
        <v>46082</v>
      </c>
      <c r="B146" t="n">
        <v>65776.47</v>
      </c>
      <c r="C146" t="n">
        <v>1939.71</v>
      </c>
      <c r="D146" t="n">
        <v>83.59999999999999</v>
      </c>
      <c r="E146" t="n">
        <v>441.7</v>
      </c>
      <c r="F146" t="n">
        <v>617.96</v>
      </c>
      <c r="G146" t="n">
        <v>0.2735</v>
      </c>
    </row>
    <row r="147">
      <c r="A147" s="45" t="n">
        <v>46083</v>
      </c>
      <c r="B147" t="n">
        <v>68830.06</v>
      </c>
      <c r="C147" t="n">
        <v>2027.35</v>
      </c>
      <c r="D147" t="n">
        <v>86.64</v>
      </c>
      <c r="E147" t="n">
        <v>445.3</v>
      </c>
      <c r="F147" t="n">
        <v>637.79</v>
      </c>
      <c r="G147" t="n">
        <v>0.2771</v>
      </c>
    </row>
    <row r="148">
      <c r="A148" s="45" t="n">
        <v>46084</v>
      </c>
      <c r="B148" t="n">
        <v>68338</v>
      </c>
      <c r="C148" t="n">
        <v>1982.8</v>
      </c>
      <c r="D148" t="n">
        <v>86.97</v>
      </c>
      <c r="E148" t="n">
        <v>443.9</v>
      </c>
      <c r="F148" t="n">
        <v>633.5599999999999</v>
      </c>
      <c r="G148" t="n">
        <v>0.2625</v>
      </c>
    </row>
    <row r="149">
      <c r="A149" s="45" t="n">
        <v>46085</v>
      </c>
      <c r="B149" t="n">
        <v>72666.77</v>
      </c>
      <c r="C149" t="n">
        <v>2127.28</v>
      </c>
      <c r="D149" t="n">
        <v>90.84999999999999</v>
      </c>
      <c r="E149" t="n">
        <v>466.9</v>
      </c>
      <c r="F149" t="n">
        <v>657.99</v>
      </c>
      <c r="G149" t="n">
        <v>0.2763</v>
      </c>
    </row>
    <row r="150">
      <c r="A150" s="45" t="n">
        <v>46086</v>
      </c>
      <c r="B150" t="n">
        <v>70890.72</v>
      </c>
      <c r="C150" t="n">
        <v>2072.86</v>
      </c>
      <c r="D150" t="n">
        <v>88.77</v>
      </c>
      <c r="E150" t="n">
        <v>461.6</v>
      </c>
      <c r="F150" t="n">
        <v>647.85</v>
      </c>
      <c r="G150" t="n">
        <v>0.2692</v>
      </c>
    </row>
    <row r="151">
      <c r="A151" s="45" t="n">
        <v>46087</v>
      </c>
      <c r="B151" t="n">
        <v>68114.02</v>
      </c>
      <c r="C151" t="n">
        <v>1978.68</v>
      </c>
      <c r="D151" t="n">
        <v>84.7</v>
      </c>
      <c r="E151" t="n">
        <v>449.7</v>
      </c>
      <c r="F151" t="n">
        <v>627.3099999999999</v>
      </c>
      <c r="G151" t="n">
        <v>0.259</v>
      </c>
    </row>
    <row r="152">
      <c r="A152" s="45" t="n">
        <v>46088</v>
      </c>
      <c r="B152" t="n">
        <v>67262.91</v>
      </c>
      <c r="C152" t="n">
        <v>1969.59</v>
      </c>
      <c r="D152" t="n">
        <v>83.22</v>
      </c>
      <c r="E152" t="n">
        <v>450.2</v>
      </c>
      <c r="F152" t="n">
        <v>620.26</v>
      </c>
      <c r="G152" t="n">
        <v>0.2544</v>
      </c>
    </row>
    <row r="153">
      <c r="A153" s="45" t="n">
        <v>46089</v>
      </c>
      <c r="B153" t="n">
        <v>65971.2</v>
      </c>
      <c r="C153" t="n">
        <v>1937.1</v>
      </c>
      <c r="D153" t="n">
        <v>81.59</v>
      </c>
      <c r="E153" t="n">
        <v>443.1</v>
      </c>
      <c r="F153" t="n">
        <v>611.98</v>
      </c>
      <c r="G153" t="n">
        <v>0.2493</v>
      </c>
    </row>
    <row r="154">
      <c r="A154" s="45" t="n">
        <v>46090</v>
      </c>
      <c r="B154" t="n">
        <v>68432.16</v>
      </c>
      <c r="C154" t="n">
        <v>1992.98</v>
      </c>
      <c r="D154" t="n">
        <v>84.95999999999999</v>
      </c>
      <c r="E154" t="n">
        <v>444.6</v>
      </c>
      <c r="F154" t="n">
        <v>634.64</v>
      </c>
      <c r="G154" t="n">
        <v>0.2552</v>
      </c>
    </row>
    <row r="155">
      <c r="A155" s="45" t="n">
        <v>46091</v>
      </c>
      <c r="B155" t="n">
        <v>69948.63</v>
      </c>
      <c r="C155" t="n">
        <v>2036.51</v>
      </c>
      <c r="D155" t="n">
        <v>85.88</v>
      </c>
      <c r="E155" t="n">
        <v>447.1</v>
      </c>
      <c r="F155" t="n">
        <v>642</v>
      </c>
      <c r="G155" t="n">
        <v>0.2621</v>
      </c>
    </row>
    <row r="156">
      <c r="A156" s="45" t="n">
        <v>46092</v>
      </c>
      <c r="B156" t="n">
        <v>70191.86</v>
      </c>
      <c r="C156" t="n">
        <v>2051.97</v>
      </c>
      <c r="D156" t="n">
        <v>86.58</v>
      </c>
      <c r="E156" t="n">
        <v>455.1</v>
      </c>
      <c r="F156" t="n">
        <v>651.46</v>
      </c>
      <c r="G156" t="n">
        <v>0.2626</v>
      </c>
    </row>
    <row r="157">
      <c r="A157" s="45" t="n">
        <v>46093</v>
      </c>
      <c r="B157" t="n">
        <v>70541.34</v>
      </c>
      <c r="C157" t="n">
        <v>2073.52</v>
      </c>
      <c r="D157" t="n">
        <v>86.84</v>
      </c>
      <c r="E157" t="n">
        <v>455.2</v>
      </c>
      <c r="F157" t="n">
        <v>651.72</v>
      </c>
      <c r="G157" t="n">
        <v>0.2636</v>
      </c>
    </row>
    <row r="158">
      <c r="A158" s="45" t="n">
        <v>46094</v>
      </c>
      <c r="B158" t="n">
        <v>70930</v>
      </c>
      <c r="C158" t="n">
        <v>2092.22</v>
      </c>
      <c r="D158" t="n">
        <v>88.18000000000001</v>
      </c>
      <c r="E158" t="n">
        <v>461</v>
      </c>
      <c r="F158" t="n">
        <v>655.73</v>
      </c>
      <c r="G158" t="n">
        <v>0.2656</v>
      </c>
    </row>
    <row r="159">
      <c r="A159" s="45" t="n">
        <v>46095</v>
      </c>
      <c r="B159" t="n">
        <v>71211.95</v>
      </c>
      <c r="C159" t="n">
        <v>2096.16</v>
      </c>
      <c r="D159" t="n">
        <v>88.03</v>
      </c>
      <c r="E159" t="n">
        <v>467.6</v>
      </c>
      <c r="F159" t="n">
        <v>657.7</v>
      </c>
      <c r="G159" t="n">
        <v>0.2634</v>
      </c>
    </row>
    <row r="160">
      <c r="A160" s="45" t="n">
        <v>46096</v>
      </c>
      <c r="B160" t="n">
        <v>72815.24000000001</v>
      </c>
      <c r="C160" t="n">
        <v>2178.3</v>
      </c>
      <c r="D160" t="n">
        <v>92.3</v>
      </c>
      <c r="E160" t="n">
        <v>469.7</v>
      </c>
      <c r="F160" t="n">
        <v>673.77</v>
      </c>
      <c r="G160" t="n">
        <v>0.2702</v>
      </c>
    </row>
    <row r="161">
      <c r="A161" s="45" t="n">
        <v>46097</v>
      </c>
      <c r="B161" t="n">
        <v>74884.67</v>
      </c>
      <c r="C161" t="n">
        <v>2352.97</v>
      </c>
      <c r="D161" t="n">
        <v>96.2</v>
      </c>
      <c r="E161" t="n">
        <v>478.8</v>
      </c>
      <c r="F161" t="n">
        <v>679.71</v>
      </c>
      <c r="G161" t="n">
        <v>0.2904</v>
      </c>
    </row>
    <row r="162">
      <c r="A162" s="45" t="n">
        <v>46098</v>
      </c>
      <c r="B162" t="n">
        <v>73909.36</v>
      </c>
      <c r="C162" t="n">
        <v>2317.39</v>
      </c>
      <c r="D162" t="n">
        <v>94.62</v>
      </c>
      <c r="E162" t="n">
        <v>470.7</v>
      </c>
      <c r="F162" t="n">
        <v>668.61</v>
      </c>
      <c r="G162" t="n">
        <v>0.2891</v>
      </c>
    </row>
    <row r="163">
      <c r="A163" s="45" t="n">
        <v>46099</v>
      </c>
      <c r="B163" t="n">
        <v>71246.53999999999</v>
      </c>
      <c r="C163" t="n">
        <v>2203.39</v>
      </c>
      <c r="D163" t="n">
        <v>90.08</v>
      </c>
      <c r="E163" t="n">
        <v>456.9</v>
      </c>
      <c r="F163" t="n">
        <v>652.27</v>
      </c>
      <c r="G163" t="n">
        <v>0.2742</v>
      </c>
    </row>
    <row r="164">
      <c r="A164" s="45" t="n">
        <v>46100</v>
      </c>
      <c r="B164" t="n">
        <v>69930</v>
      </c>
      <c r="C164" t="n">
        <v>2137.81</v>
      </c>
      <c r="D164" t="n">
        <v>88.89</v>
      </c>
      <c r="E164" t="n">
        <v>455.6</v>
      </c>
      <c r="F164" t="n">
        <v>639.15</v>
      </c>
      <c r="G164" t="n">
        <v>0.2675</v>
      </c>
    </row>
    <row r="165">
      <c r="A165" s="45" t="n">
        <v>46101</v>
      </c>
      <c r="B165" t="n">
        <v>70510.73</v>
      </c>
      <c r="C165" t="n">
        <v>2146.22</v>
      </c>
      <c r="D165" t="n">
        <v>89.84</v>
      </c>
      <c r="E165" t="n">
        <v>474.6</v>
      </c>
      <c r="F165" t="n">
        <v>642.11</v>
      </c>
      <c r="G165" t="n">
        <v>0.2661</v>
      </c>
    </row>
    <row r="166">
      <c r="A166" s="45" t="n">
        <v>46102</v>
      </c>
      <c r="B166" t="n">
        <v>68918.12</v>
      </c>
      <c r="C166" t="n">
        <v>2084.87</v>
      </c>
      <c r="D166" t="n">
        <v>87.56</v>
      </c>
      <c r="E166" t="n">
        <v>462.6</v>
      </c>
      <c r="F166" t="n">
        <v>630.7</v>
      </c>
      <c r="G166" t="n">
        <v>0.2574</v>
      </c>
    </row>
    <row r="167">
      <c r="A167" s="45" t="n">
        <v>46103</v>
      </c>
      <c r="B167" t="n">
        <v>67859</v>
      </c>
      <c r="C167" t="n">
        <v>2053.89</v>
      </c>
      <c r="D167" t="n">
        <v>86.2</v>
      </c>
      <c r="E167" t="n">
        <v>467.4</v>
      </c>
      <c r="F167" t="n">
        <v>626.41</v>
      </c>
      <c r="G167" t="n">
        <v>0.2506</v>
      </c>
    </row>
    <row r="168">
      <c r="A168" s="45" t="n">
        <v>46104</v>
      </c>
      <c r="B168" t="n">
        <v>70906.45</v>
      </c>
      <c r="C168" t="n">
        <v>2152.03</v>
      </c>
      <c r="D168" t="n">
        <v>91.43000000000001</v>
      </c>
      <c r="E168" t="n">
        <v>478</v>
      </c>
      <c r="F168" t="n">
        <v>639.11</v>
      </c>
      <c r="G168" t="n">
        <v>0.2616</v>
      </c>
    </row>
    <row r="169">
      <c r="A169" s="45" t="n">
        <v>46105</v>
      </c>
      <c r="B169" t="n">
        <v>70556.74000000001</v>
      </c>
      <c r="C169" t="n">
        <v>2156.23</v>
      </c>
      <c r="D169" t="n">
        <v>90.8</v>
      </c>
      <c r="E169" t="n">
        <v>477.4</v>
      </c>
      <c r="F169" t="n">
        <v>638.3</v>
      </c>
      <c r="G169" t="n">
        <v>0.2664</v>
      </c>
    </row>
    <row r="170">
      <c r="A170" s="45" t="n">
        <v>46106</v>
      </c>
      <c r="B170" t="n">
        <v>71336.53</v>
      </c>
      <c r="C170" t="n">
        <v>2169.02</v>
      </c>
      <c r="D170" t="n">
        <v>91.7</v>
      </c>
      <c r="E170" t="n">
        <v>473.6</v>
      </c>
      <c r="F170" t="n">
        <v>647.66</v>
      </c>
      <c r="G170" t="n">
        <v>0.2705</v>
      </c>
    </row>
    <row r="171">
      <c r="A171" s="45" t="n">
        <v>46107</v>
      </c>
      <c r="B171" t="n">
        <v>68820.31</v>
      </c>
      <c r="C171" t="n">
        <v>2060.43</v>
      </c>
      <c r="D171" t="n">
        <v>86.53</v>
      </c>
      <c r="E171" t="n">
        <v>461.9</v>
      </c>
      <c r="F171" t="n">
        <v>628.86</v>
      </c>
      <c r="G171" t="n">
        <v>0.2547</v>
      </c>
    </row>
    <row r="172">
      <c r="A172" s="45" t="n">
        <v>46108</v>
      </c>
      <c r="B172" t="n">
        <v>66407.28</v>
      </c>
      <c r="C172" t="n">
        <v>1992.75</v>
      </c>
      <c r="D172" t="n">
        <v>83.11</v>
      </c>
      <c r="E172" t="n">
        <v>472.9</v>
      </c>
      <c r="F172" t="n">
        <v>613.95</v>
      </c>
      <c r="G172" t="n">
        <v>0.2461</v>
      </c>
    </row>
    <row r="173">
      <c r="A173" s="45" t="n">
        <v>46109</v>
      </c>
      <c r="B173" t="n">
        <v>66377.03</v>
      </c>
      <c r="C173" t="n">
        <v>1994.74</v>
      </c>
      <c r="D173" t="n">
        <v>82.09</v>
      </c>
      <c r="E173" t="n">
        <v>481.2</v>
      </c>
      <c r="F173" t="n">
        <v>611.08</v>
      </c>
      <c r="G173" t="n">
        <v>0.246</v>
      </c>
    </row>
    <row r="174">
      <c r="A174" s="45" t="n">
        <v>46110</v>
      </c>
      <c r="B174" t="n">
        <v>66010.92999999999</v>
      </c>
      <c r="C174" t="n">
        <v>1984.64</v>
      </c>
      <c r="D174" t="n">
        <v>81.44</v>
      </c>
      <c r="E174" t="n">
        <v>452.7</v>
      </c>
      <c r="F174" t="n">
        <v>606.09</v>
      </c>
      <c r="G174" t="n">
        <v>0.2398</v>
      </c>
    </row>
    <row r="175">
      <c r="A175" s="45" t="n">
        <v>46111</v>
      </c>
      <c r="B175" t="n">
        <v>66797.37</v>
      </c>
      <c r="C175" t="n">
        <v>2026.48</v>
      </c>
      <c r="D175" t="n">
        <v>82.54000000000001</v>
      </c>
      <c r="E175" t="n">
        <v>460.3</v>
      </c>
      <c r="F175" t="n">
        <v>609.29</v>
      </c>
      <c r="G175" t="n">
        <v>0.2434</v>
      </c>
    </row>
    <row r="176">
      <c r="A176" s="45" t="n">
        <v>46112</v>
      </c>
      <c r="B176" t="n">
        <v>68284.48</v>
      </c>
      <c r="C176" t="n">
        <v>2105.43</v>
      </c>
      <c r="D176" t="n">
        <v>83.2</v>
      </c>
      <c r="E176" t="n">
        <v>466.5</v>
      </c>
      <c r="F176" t="n">
        <v>617.4299999999999</v>
      </c>
      <c r="G176" t="n">
        <v>0.2418</v>
      </c>
    </row>
    <row r="177">
      <c r="A177" s="45" t="n">
        <v>46113</v>
      </c>
      <c r="B177" t="n">
        <v>68113.92</v>
      </c>
      <c r="C177" t="n">
        <v>2140.35</v>
      </c>
      <c r="D177" t="n">
        <v>81.18000000000001</v>
      </c>
      <c r="E177" t="n">
        <v>455.1</v>
      </c>
      <c r="F177" t="n">
        <v>610.8099999999999</v>
      </c>
      <c r="G177" t="n">
        <v>0.2484</v>
      </c>
    </row>
    <row r="178">
      <c r="A178" s="45" t="n">
        <v>46114</v>
      </c>
      <c r="B178" t="n">
        <v>66901.99000000001</v>
      </c>
      <c r="C178" t="n">
        <v>2057.17</v>
      </c>
      <c r="D178" t="n">
        <v>78.94</v>
      </c>
      <c r="E178" t="n">
        <v>444.3</v>
      </c>
      <c r="F178" t="n">
        <v>583.52</v>
      </c>
      <c r="G178" t="n">
        <v>0.2394</v>
      </c>
    </row>
    <row r="179">
      <c r="A179" s="45" t="n">
        <v>46115</v>
      </c>
      <c r="B179" t="n">
        <v>66964.3</v>
      </c>
      <c r="C179" t="n">
        <v>2053.83</v>
      </c>
      <c r="D179" t="n">
        <v>80.40000000000001</v>
      </c>
      <c r="E179" t="n">
        <v>443</v>
      </c>
      <c r="F179" t="n">
        <v>588.3099999999999</v>
      </c>
      <c r="G179" t="n">
        <v>0.2463</v>
      </c>
    </row>
    <row r="180">
      <c r="A180" s="45" t="n">
        <v>46116</v>
      </c>
      <c r="B180" t="n">
        <v>67300.42</v>
      </c>
      <c r="C180" t="n">
        <v>2065.52</v>
      </c>
      <c r="D180" t="n">
        <v>80.83</v>
      </c>
      <c r="E180" t="n">
        <v>441.2</v>
      </c>
      <c r="F180" t="n">
        <v>593.36</v>
      </c>
      <c r="G180" t="n">
        <v>0.2479</v>
      </c>
    </row>
    <row r="181">
      <c r="A181" s="45" t="n">
        <v>46117</v>
      </c>
      <c r="B181" t="n">
        <v>69034.17999999999</v>
      </c>
      <c r="C181" t="n">
        <v>2110.17</v>
      </c>
      <c r="D181" t="n">
        <v>81.89</v>
      </c>
      <c r="E181" t="n">
        <v>428.6</v>
      </c>
      <c r="F181" t="n">
        <v>601.5</v>
      </c>
      <c r="G181" t="n">
        <v>0.2508</v>
      </c>
    </row>
    <row r="182">
      <c r="A182" s="45" t="n">
        <v>46118</v>
      </c>
      <c r="B182" t="n">
        <v>68853.66</v>
      </c>
      <c r="C182" t="n">
        <v>2107.16</v>
      </c>
      <c r="D182" t="n">
        <v>80.03</v>
      </c>
      <c r="E182" t="n">
        <v>435.1</v>
      </c>
      <c r="F182" t="n">
        <v>600.11</v>
      </c>
      <c r="G182" t="n">
        <v>0.2461</v>
      </c>
    </row>
    <row r="183">
      <c r="A183" s="45" t="n">
        <v>46119</v>
      </c>
      <c r="B183" t="n">
        <v>68453.28</v>
      </c>
      <c r="C183" t="n">
        <v>2083.4</v>
      </c>
      <c r="D183" t="n">
        <v>79.13</v>
      </c>
      <c r="E183" t="n">
        <v>433.7</v>
      </c>
      <c r="F183" t="n">
        <v>597.9</v>
      </c>
      <c r="G183" t="n">
        <v>0.2428</v>
      </c>
    </row>
    <row r="185">
      <c r="A185" t="inlineStr">
        <is>
          <t>Histórico de precios normalizados (Base 100)</t>
        </is>
      </c>
    </row>
    <row r="186">
      <c r="A186" t="inlineStr">
        <is>
          <t>Fecha</t>
        </is>
      </c>
      <c r="B186" s="774" t="inlineStr">
        <is>
          <t>BTC</t>
        </is>
      </c>
      <c r="C186" s="775" t="inlineStr">
        <is>
          <t>ETH</t>
        </is>
      </c>
      <c r="D186" s="776" t="inlineStr">
        <is>
          <t>SOL</t>
        </is>
      </c>
      <c r="E186" s="777" t="inlineStr">
        <is>
          <t>BCH</t>
        </is>
      </c>
      <c r="F186" s="778" t="inlineStr">
        <is>
          <t>BNB</t>
        </is>
      </c>
      <c r="G186" s="779" t="inlineStr">
        <is>
          <t>ADA</t>
        </is>
      </c>
      <c r="H186" s="780" t="inlineStr">
        <is>
          <t>USDT</t>
        </is>
      </c>
    </row>
    <row r="187">
      <c r="A187" s="45" t="n">
        <v>45940</v>
      </c>
      <c r="B187" t="n">
        <v>100</v>
      </c>
      <c r="C187" t="n">
        <v>100</v>
      </c>
      <c r="D187" t="n">
        <v>100</v>
      </c>
      <c r="E187" t="n">
        <v>100</v>
      </c>
      <c r="F187" t="n">
        <v>100</v>
      </c>
      <c r="G187" t="n">
        <v>100</v>
      </c>
      <c r="H187" t="n">
        <v/>
      </c>
    </row>
    <row r="188">
      <c r="A188" s="45" t="n">
        <v>45941</v>
      </c>
      <c r="B188" t="n">
        <v>98.11118648275983</v>
      </c>
      <c r="C188" t="n">
        <v>97.83456754018572</v>
      </c>
      <c r="D188" t="n">
        <v>94.26312158361195</v>
      </c>
      <c r="E188" t="n">
        <v>97.39045764362221</v>
      </c>
      <c r="F188" t="n">
        <v>102.9569965622647</v>
      </c>
      <c r="G188" t="n">
        <v>99.41759798520386</v>
      </c>
      <c r="H188" t="n">
        <v/>
      </c>
    </row>
    <row r="189">
      <c r="A189" s="45" t="n">
        <v>45942</v>
      </c>
      <c r="B189" t="n">
        <v>101.9368740273732</v>
      </c>
      <c r="C189" t="n">
        <v>108.4228089782021</v>
      </c>
      <c r="D189" t="n">
        <v>104.548108050735</v>
      </c>
      <c r="E189" t="n">
        <v>105.2969814995132</v>
      </c>
      <c r="F189" t="n">
        <v>118.1574101789618</v>
      </c>
      <c r="G189" t="n">
        <v>110.1841649614356</v>
      </c>
      <c r="H189" t="n">
        <v/>
      </c>
    </row>
    <row r="190">
      <c r="A190" s="45" t="n">
        <v>45943</v>
      </c>
      <c r="B190" t="n">
        <v>102.120603505225</v>
      </c>
      <c r="C190" t="n">
        <v>110.7352495743814</v>
      </c>
      <c r="D190" t="n">
        <v>110.7520033964868</v>
      </c>
      <c r="E190" t="n">
        <v>106.4264849074976</v>
      </c>
      <c r="F190" t="n">
        <v>117.4226963091966</v>
      </c>
      <c r="G190" t="n">
        <v>114.6544939398709</v>
      </c>
      <c r="H190" t="n">
        <v/>
      </c>
    </row>
    <row r="191">
      <c r="A191" s="45" t="n">
        <v>45944</v>
      </c>
      <c r="B191" t="n">
        <v>100.2249089998182</v>
      </c>
      <c r="C191" t="n">
        <v>107.7107464775493</v>
      </c>
      <c r="D191" t="n">
        <v>107.4351217958924</v>
      </c>
      <c r="E191" t="n">
        <v>104.7711781888997</v>
      </c>
      <c r="F191" t="n">
        <v>109.6193093689624</v>
      </c>
      <c r="G191" t="n">
        <v>110.0110184164961</v>
      </c>
      <c r="H191" t="n">
        <v/>
      </c>
    </row>
    <row r="192">
      <c r="A192" s="45" t="n">
        <v>45945</v>
      </c>
      <c r="B192" t="n">
        <v>98.21660038395204</v>
      </c>
      <c r="C192" t="n">
        <v>104.0705325715718</v>
      </c>
      <c r="D192" t="n">
        <v>102.8710927134745</v>
      </c>
      <c r="E192" t="n">
        <v>101.6942551119766</v>
      </c>
      <c r="F192" t="n">
        <v>105.4513955028255</v>
      </c>
      <c r="G192" t="n">
        <v>105.2101369431765</v>
      </c>
      <c r="H192" t="n">
        <v/>
      </c>
    </row>
    <row r="193">
      <c r="A193" s="45" t="n">
        <v>45946</v>
      </c>
      <c r="B193" t="n">
        <v>95.93860314166767</v>
      </c>
      <c r="C193" t="n">
        <v>101.6917685888264</v>
      </c>
      <c r="D193" t="n">
        <v>98.10009021917952</v>
      </c>
      <c r="E193" t="n">
        <v>98.30574488802337</v>
      </c>
      <c r="F193" t="n">
        <v>103.8422814226237</v>
      </c>
      <c r="G193" t="n">
        <v>101.5740594994491</v>
      </c>
      <c r="H193" t="n">
        <v/>
      </c>
    </row>
    <row r="194">
      <c r="A194" s="45" t="n">
        <v>45947</v>
      </c>
      <c r="B194" t="n">
        <v>94.37566116453631</v>
      </c>
      <c r="C194" t="n">
        <v>100.0483064036013</v>
      </c>
      <c r="D194" t="n">
        <v>96.56636416706469</v>
      </c>
      <c r="E194" t="n">
        <v>91.48977604673807</v>
      </c>
      <c r="F194" t="n">
        <v>97.15910637024137</v>
      </c>
      <c r="G194" t="n">
        <v>98.300015740595</v>
      </c>
      <c r="H194" t="n">
        <v/>
      </c>
    </row>
    <row r="195">
      <c r="A195" s="45" t="n">
        <v>45948</v>
      </c>
      <c r="B195" t="n">
        <v>95.04365791912178</v>
      </c>
      <c r="C195" t="n">
        <v>101.553377270401</v>
      </c>
      <c r="D195" t="n">
        <v>99.53829008119726</v>
      </c>
      <c r="E195" t="n">
        <v>91.23661148977604</v>
      </c>
      <c r="F195" t="n">
        <v>99.08931762315528</v>
      </c>
      <c r="G195" t="n">
        <v>99.84259405005508</v>
      </c>
      <c r="H195" t="n">
        <v/>
      </c>
    </row>
    <row r="196">
      <c r="A196" s="45" t="n">
        <v>45949</v>
      </c>
      <c r="B196" t="n">
        <v>96.33629942939228</v>
      </c>
      <c r="C196" t="n">
        <v>103.9914145159437</v>
      </c>
      <c r="D196" t="n">
        <v>99.6975003980258</v>
      </c>
      <c r="E196" t="n">
        <v>92.05452775073027</v>
      </c>
      <c r="F196" t="n">
        <v>100.6721271327111</v>
      </c>
      <c r="G196" t="n">
        <v>102.7546041240359</v>
      </c>
      <c r="H196" t="n">
        <v/>
      </c>
    </row>
    <row r="197">
      <c r="A197" s="45" t="n">
        <v>45950</v>
      </c>
      <c r="B197" t="n">
        <v>98.01159836665204</v>
      </c>
      <c r="C197" t="n">
        <v>103.9036796423759</v>
      </c>
      <c r="D197" t="n">
        <v>100.6792973518017</v>
      </c>
      <c r="E197" t="n">
        <v>93.22297955209348</v>
      </c>
      <c r="F197" t="n">
        <v>99.79319165147351</v>
      </c>
      <c r="G197" t="n">
        <v>104.2814418385015</v>
      </c>
      <c r="H197" t="n">
        <v/>
      </c>
    </row>
    <row r="198">
      <c r="A198" s="45" t="n">
        <v>45951</v>
      </c>
      <c r="B198" t="n">
        <v>96.03028166828493</v>
      </c>
      <c r="C198" t="n">
        <v>101.1314143070512</v>
      </c>
      <c r="D198" t="n">
        <v>98.51403704293371</v>
      </c>
      <c r="E198" t="n">
        <v>93.63193768257059</v>
      </c>
      <c r="F198" t="n">
        <v>95.89013760011611</v>
      </c>
      <c r="G198" t="n">
        <v>101.1805446245868</v>
      </c>
      <c r="H198" t="n">
        <v/>
      </c>
    </row>
    <row r="199">
      <c r="A199" s="45" t="n">
        <v>45952</v>
      </c>
      <c r="B199" t="n">
        <v>95.38276826764917</v>
      </c>
      <c r="C199" t="n">
        <v>99.36836113345102</v>
      </c>
      <c r="D199" t="n">
        <v>95.58987422384971</v>
      </c>
      <c r="E199" t="n">
        <v>92.15189873417722</v>
      </c>
      <c r="F199" t="n">
        <v>97.21987899897502</v>
      </c>
      <c r="G199" t="n">
        <v>98.18983157563356</v>
      </c>
      <c r="H199" t="n">
        <v/>
      </c>
    </row>
    <row r="200">
      <c r="A200" s="45" t="n">
        <v>45953</v>
      </c>
      <c r="B200" t="n">
        <v>97.60910489516689</v>
      </c>
      <c r="C200" t="n">
        <v>100.7071013024451</v>
      </c>
      <c r="D200" t="n">
        <v>101.5496470837977</v>
      </c>
      <c r="E200" t="n">
        <v>93.53456669912367</v>
      </c>
      <c r="F200" t="n">
        <v>102.1996063384945</v>
      </c>
      <c r="G200" t="n">
        <v>101.1805446245868</v>
      </c>
      <c r="H200" t="n">
        <v/>
      </c>
    </row>
    <row r="201">
      <c r="A201" s="45" t="n">
        <v>45954</v>
      </c>
      <c r="B201" t="n">
        <v>98.4308420786614</v>
      </c>
      <c r="C201" t="n">
        <v>102.7458926501154</v>
      </c>
      <c r="D201" t="n">
        <v>102.7384174494507</v>
      </c>
      <c r="E201" t="n">
        <v>97.99415774099319</v>
      </c>
      <c r="F201" t="n">
        <v>100.5932134207733</v>
      </c>
      <c r="G201" t="n">
        <v>103.2583031638596</v>
      </c>
      <c r="H201" t="n">
        <v/>
      </c>
    </row>
    <row r="202">
      <c r="A202" s="45" t="n">
        <v>45955</v>
      </c>
      <c r="B202" t="n">
        <v>98.99956993823959</v>
      </c>
      <c r="C202" t="n">
        <v>103.2404457767148</v>
      </c>
      <c r="D202" t="n">
        <v>102.8710927134745</v>
      </c>
      <c r="E202" t="n">
        <v>98.96786757546251</v>
      </c>
      <c r="F202" t="n">
        <v>101.2753181492467</v>
      </c>
      <c r="G202" t="n">
        <v>102.9749724539588</v>
      </c>
      <c r="H202" t="n">
        <v/>
      </c>
    </row>
    <row r="203">
      <c r="A203" s="45" t="n">
        <v>45956</v>
      </c>
      <c r="B203" t="n">
        <v>101.5827159508577</v>
      </c>
      <c r="C203" t="n">
        <v>108.5839173621048</v>
      </c>
      <c r="D203" t="n">
        <v>106.1561322507032</v>
      </c>
      <c r="E203" t="n">
        <v>108.9386562804284</v>
      </c>
      <c r="F203" t="n">
        <v>103.2399974602483</v>
      </c>
      <c r="G203" t="n">
        <v>107.2249331024713</v>
      </c>
      <c r="H203" t="n">
        <v/>
      </c>
    </row>
    <row r="204">
      <c r="A204" s="45" t="n">
        <v>45957</v>
      </c>
      <c r="B204" t="n">
        <v>101.1821378059756</v>
      </c>
      <c r="C204" t="n">
        <v>107.583583134015</v>
      </c>
      <c r="D204" t="n">
        <v>105.4502998460967</v>
      </c>
      <c r="E204" t="n">
        <v>108.1986368062317</v>
      </c>
      <c r="F204" t="n">
        <v>103.3025841973024</v>
      </c>
      <c r="G204" t="n">
        <v>104.9897686132536</v>
      </c>
      <c r="H204" t="n">
        <v/>
      </c>
    </row>
    <row r="205">
      <c r="A205" s="45" t="n">
        <v>45958</v>
      </c>
      <c r="B205" t="n">
        <v>100.1099095983578</v>
      </c>
      <c r="C205" t="n">
        <v>103.9031574109857</v>
      </c>
      <c r="D205" t="n">
        <v>103.035610040864</v>
      </c>
      <c r="E205" t="n">
        <v>108.5881207400195</v>
      </c>
      <c r="F205" t="n">
        <v>100.0888913077</v>
      </c>
      <c r="G205" t="n">
        <v>101.668503069416</v>
      </c>
      <c r="H205" t="n">
        <v/>
      </c>
    </row>
    <row r="206">
      <c r="A206" s="45" t="n">
        <v>45959</v>
      </c>
      <c r="B206" t="n">
        <v>97.55865909403278</v>
      </c>
      <c r="C206" t="n">
        <v>101.9131946983069</v>
      </c>
      <c r="D206" t="n">
        <v>102.8923207557183</v>
      </c>
      <c r="E206" t="n">
        <v>108.1986368062317</v>
      </c>
      <c r="F206" t="n">
        <v>100.4743893257866</v>
      </c>
      <c r="G206" t="n">
        <v>100.7555485597356</v>
      </c>
      <c r="H206" t="n">
        <v/>
      </c>
    </row>
    <row r="207">
      <c r="A207" s="45" t="n">
        <v>45960</v>
      </c>
      <c r="B207" t="n">
        <v>96.05263601257377</v>
      </c>
      <c r="C207" t="n">
        <v>99.35687204286477</v>
      </c>
      <c r="D207" t="n">
        <v>98.01517805020431</v>
      </c>
      <c r="E207" t="n">
        <v>105.3943524829601</v>
      </c>
      <c r="F207" t="n">
        <v>97.87567915680245</v>
      </c>
      <c r="G207" t="n">
        <v>94.69541948685661</v>
      </c>
      <c r="H207" t="n">
        <v/>
      </c>
    </row>
    <row r="208">
      <c r="A208" s="45" t="n">
        <v>45961</v>
      </c>
      <c r="B208" t="n">
        <v>97.19219327064185</v>
      </c>
      <c r="C208" t="n">
        <v>100.4770583750248</v>
      </c>
      <c r="D208" t="n">
        <v>99.35254471156398</v>
      </c>
      <c r="E208" t="n">
        <v>104.2064264849075</v>
      </c>
      <c r="F208" t="n">
        <v>98.7691275046033</v>
      </c>
      <c r="G208" t="n">
        <v>95.87596411144341</v>
      </c>
      <c r="H208" t="n">
        <v/>
      </c>
    </row>
    <row r="209">
      <c r="A209" s="45" t="n">
        <v>45962</v>
      </c>
      <c r="B209" t="n">
        <v>97.62676846272873</v>
      </c>
      <c r="C209" t="n">
        <v>101.1502146371014</v>
      </c>
      <c r="D209" t="n">
        <v>98.89614180332218</v>
      </c>
      <c r="E209" t="n">
        <v>107.8870496592016</v>
      </c>
      <c r="F209" t="n">
        <v>99.27979899679809</v>
      </c>
      <c r="G209" t="n">
        <v>96.45836612623958</v>
      </c>
      <c r="H209" t="n">
        <v/>
      </c>
    </row>
    <row r="210">
      <c r="A210" s="45" t="n">
        <v>45963</v>
      </c>
      <c r="B210" t="n">
        <v>98.01921533680043</v>
      </c>
      <c r="C210" t="n">
        <v>102.006935232863</v>
      </c>
      <c r="D210" t="n">
        <v>99.61789523961153</v>
      </c>
      <c r="E210" t="n">
        <v>104.5569620253165</v>
      </c>
      <c r="F210" t="n">
        <v>98.2566419040881</v>
      </c>
      <c r="G210" t="n">
        <v>96.11207303636078</v>
      </c>
      <c r="H210" t="n">
        <v/>
      </c>
    </row>
    <row r="211">
      <c r="A211" s="45" t="n">
        <v>45964</v>
      </c>
      <c r="B211" t="n">
        <v>94.50987590279716</v>
      </c>
      <c r="C211" t="n">
        <v>94.10165756243276</v>
      </c>
      <c r="D211" t="n">
        <v>88.12821737515257</v>
      </c>
      <c r="E211" t="n">
        <v>98.51996105160661</v>
      </c>
      <c r="F211" t="n">
        <v>90.11945903289885</v>
      </c>
      <c r="G211" t="n">
        <v>87.01400912954509</v>
      </c>
      <c r="H211" t="n">
        <v/>
      </c>
    </row>
    <row r="212">
      <c r="A212" s="45" t="n">
        <v>45965</v>
      </c>
      <c r="B212" t="n">
        <v>90.00015074329747</v>
      </c>
      <c r="C212" t="n">
        <v>85.83003457171804</v>
      </c>
      <c r="D212" t="n">
        <v>82.27458472642361</v>
      </c>
      <c r="E212" t="n">
        <v>93.4761441090555</v>
      </c>
      <c r="F212" t="n">
        <v>84.97011256542127</v>
      </c>
      <c r="G212" t="n">
        <v>81.97701873130805</v>
      </c>
      <c r="H212" t="n">
        <v/>
      </c>
    </row>
    <row r="213">
      <c r="A213" s="45" t="n">
        <v>45966</v>
      </c>
      <c r="B213" t="n">
        <v>92.11759750652851</v>
      </c>
      <c r="C213" t="n">
        <v>89.41358637184965</v>
      </c>
      <c r="D213" t="n">
        <v>86.16993047816165</v>
      </c>
      <c r="E213" t="n">
        <v>95.24829600778968</v>
      </c>
      <c r="F213" t="n">
        <v>87.01642675084129</v>
      </c>
      <c r="G213" t="n">
        <v>85.83346450495829</v>
      </c>
      <c r="H213" t="n">
        <v/>
      </c>
    </row>
    <row r="214">
      <c r="A214" s="45" t="n">
        <v>45967</v>
      </c>
      <c r="B214" t="n">
        <v>89.86609561558684</v>
      </c>
      <c r="C214" t="n">
        <v>86.56350855937249</v>
      </c>
      <c r="D214" t="n">
        <v>82.40725999044739</v>
      </c>
      <c r="E214" t="n">
        <v>92.09347614410905</v>
      </c>
      <c r="F214" t="n">
        <v>86.20642738577921</v>
      </c>
      <c r="G214" t="n">
        <v>83.70848418070203</v>
      </c>
      <c r="H214" t="n">
        <v/>
      </c>
    </row>
    <row r="215">
      <c r="A215" s="45" t="n">
        <v>45968</v>
      </c>
      <c r="B215" t="n">
        <v>91.63337456605882</v>
      </c>
      <c r="C215" t="n">
        <v>89.72065842933688</v>
      </c>
      <c r="D215" t="n">
        <v>85.86212386562649</v>
      </c>
      <c r="E215" t="n">
        <v>99.76630963972735</v>
      </c>
      <c r="F215" t="n">
        <v>89.90267308861011</v>
      </c>
      <c r="G215" t="n">
        <v>90.71304895325044</v>
      </c>
      <c r="H215" t="n">
        <v/>
      </c>
    </row>
    <row r="216">
      <c r="A216" s="45" t="n">
        <v>45969</v>
      </c>
      <c r="B216" t="n">
        <v>90.72347028805271</v>
      </c>
      <c r="C216" t="n">
        <v>88.81876481831571</v>
      </c>
      <c r="D216" t="n">
        <v>83.86138088414796</v>
      </c>
      <c r="E216" t="n">
        <v>96.55306718597858</v>
      </c>
      <c r="F216" t="n">
        <v>89.89178843868767</v>
      </c>
      <c r="G216" t="n">
        <v>89.53250432866362</v>
      </c>
      <c r="H216" t="n">
        <v/>
      </c>
    </row>
    <row r="217">
      <c r="A217" s="45" t="n">
        <v>45970</v>
      </c>
      <c r="B217" t="n">
        <v>92.86049594544866</v>
      </c>
      <c r="C217" t="n">
        <v>93.56976489142809</v>
      </c>
      <c r="D217" t="n">
        <v>87.31624475932706</v>
      </c>
      <c r="E217" t="n">
        <v>98.05258033106135</v>
      </c>
      <c r="F217" t="n">
        <v>90.39973876840186</v>
      </c>
      <c r="G217" t="n">
        <v>91.13804501810168</v>
      </c>
      <c r="H217" t="n">
        <v/>
      </c>
    </row>
    <row r="218">
      <c r="A218" s="45" t="n">
        <v>45971</v>
      </c>
      <c r="B218" t="n">
        <v>94.00274884836554</v>
      </c>
      <c r="C218" t="n">
        <v>93.16216329131112</v>
      </c>
      <c r="D218" t="n">
        <v>88.79159369527146</v>
      </c>
      <c r="E218" t="n">
        <v>100.7984420642648</v>
      </c>
      <c r="F218" t="n">
        <v>89.97795858390705</v>
      </c>
      <c r="G218" t="n">
        <v>93.31024712734141</v>
      </c>
      <c r="H218" t="n">
        <v/>
      </c>
    </row>
    <row r="219">
      <c r="A219" s="45" t="n">
        <v>45972</v>
      </c>
      <c r="B219" t="n">
        <v>91.38501168260555</v>
      </c>
      <c r="C219" t="n">
        <v>89.24307782292179</v>
      </c>
      <c r="D219" t="n">
        <v>82.06230430398556</v>
      </c>
      <c r="E219" t="n">
        <v>98.48101265822785</v>
      </c>
      <c r="F219" t="n">
        <v>86.90304498081581</v>
      </c>
      <c r="G219" t="n">
        <v>87.58067054934678</v>
      </c>
      <c r="H219" t="n">
        <v/>
      </c>
    </row>
    <row r="220">
      <c r="A220" s="45" t="n">
        <v>45973</v>
      </c>
      <c r="B220" t="n">
        <v>90.13949962092494</v>
      </c>
      <c r="C220" t="n">
        <v>89.1689209655014</v>
      </c>
      <c r="D220" t="n">
        <v>81.42015602611048</v>
      </c>
      <c r="E220" t="n">
        <v>98.81207400194741</v>
      </c>
      <c r="F220" t="n">
        <v>86.42956270918937</v>
      </c>
      <c r="G220" t="n">
        <v>85.91216747993073</v>
      </c>
      <c r="H220" t="n">
        <v/>
      </c>
    </row>
    <row r="221">
      <c r="A221" s="45" t="n">
        <v>45974</v>
      </c>
      <c r="B221" t="n">
        <v>88.39943426927186</v>
      </c>
      <c r="C221" t="n">
        <v>84.38058134798366</v>
      </c>
      <c r="D221" t="n">
        <v>76.80836384864405</v>
      </c>
      <c r="E221" t="n">
        <v>99.18208373904577</v>
      </c>
      <c r="F221" t="n">
        <v>84.09752646330512</v>
      </c>
      <c r="G221" t="n">
        <v>83.39367228081223</v>
      </c>
      <c r="H221" t="n">
        <v/>
      </c>
    </row>
    <row r="222">
      <c r="A222" s="45" t="n">
        <v>45975</v>
      </c>
      <c r="B222" t="n">
        <v>83.87889106136582</v>
      </c>
      <c r="C222" t="n">
        <v>81.26964895605946</v>
      </c>
      <c r="D222" t="n">
        <v>73.72499071273151</v>
      </c>
      <c r="E222" t="n">
        <v>93.39824732229796</v>
      </c>
      <c r="F222" t="n">
        <v>83.01813201266248</v>
      </c>
      <c r="G222" t="n">
        <v>78.45112545254212</v>
      </c>
      <c r="H222" t="n">
        <v/>
      </c>
    </row>
    <row r="223">
      <c r="A223" s="45" t="n">
        <v>45976</v>
      </c>
      <c r="B223" t="n">
        <v>84.76760260519887</v>
      </c>
      <c r="C223" t="n">
        <v>82.71831883270841</v>
      </c>
      <c r="D223" t="n">
        <v>74.09117444143715</v>
      </c>
      <c r="E223" t="n">
        <v>97.85783836416748</v>
      </c>
      <c r="F223" t="n">
        <v>84.56284524748973</v>
      </c>
      <c r="G223" t="n">
        <v>79.26963639225563</v>
      </c>
      <c r="H223" t="n">
        <v/>
      </c>
    </row>
    <row r="224">
      <c r="A224" s="45" t="n">
        <v>45977</v>
      </c>
      <c r="B224" t="n">
        <v>83.58400170251254</v>
      </c>
      <c r="C224" t="n">
        <v>80.82288000167115</v>
      </c>
      <c r="D224" t="n">
        <v>72.79626386456508</v>
      </c>
      <c r="E224" t="n">
        <v>94.13826679649463</v>
      </c>
      <c r="F224" t="n">
        <v>84.04401026785308</v>
      </c>
      <c r="G224" t="n">
        <v>76.26318274830788</v>
      </c>
      <c r="H224" t="n">
        <v/>
      </c>
    </row>
    <row r="225">
      <c r="A225" s="45" t="n">
        <v>45978</v>
      </c>
      <c r="B225" t="n">
        <v>81.76949576366998</v>
      </c>
      <c r="C225" t="n">
        <v>79.15565628818818</v>
      </c>
      <c r="D225" t="n">
        <v>69.51653133789736</v>
      </c>
      <c r="E225" t="n">
        <v>95.57935735150926</v>
      </c>
      <c r="F225" t="n">
        <v>82.3024662802616</v>
      </c>
      <c r="G225" t="n">
        <v>73.39839445931057</v>
      </c>
      <c r="H225" t="n">
        <v/>
      </c>
    </row>
    <row r="226">
      <c r="A226" s="45" t="n">
        <v>45979</v>
      </c>
      <c r="B226" t="n">
        <v>82.43071793712231</v>
      </c>
      <c r="C226" t="n">
        <v>81.56366522878957</v>
      </c>
      <c r="D226" t="n">
        <v>74.66433158201986</v>
      </c>
      <c r="E226" t="n">
        <v>101.8889970788705</v>
      </c>
      <c r="F226" t="n">
        <v>84.60910500966013</v>
      </c>
      <c r="G226" t="n">
        <v>74.79930741382024</v>
      </c>
      <c r="H226" t="n">
        <v/>
      </c>
    </row>
    <row r="227">
      <c r="A227" s="45" t="n">
        <v>45980</v>
      </c>
      <c r="B227" t="n">
        <v>81.18409746884269</v>
      </c>
      <c r="C227" t="n">
        <v>79.00003133388343</v>
      </c>
      <c r="D227" t="n">
        <v>72.73788674839463</v>
      </c>
      <c r="E227" t="n">
        <v>94.72249269717624</v>
      </c>
      <c r="F227" t="n">
        <v>81.43260134062604</v>
      </c>
      <c r="G227" t="n">
        <v>73.03636077443728</v>
      </c>
      <c r="H227" t="n">
        <v/>
      </c>
    </row>
    <row r="228">
      <c r="A228" s="45" t="n">
        <v>45981</v>
      </c>
      <c r="B228" t="n">
        <v>76.82342196152499</v>
      </c>
      <c r="C228" t="n">
        <v>74.00593254859363</v>
      </c>
      <c r="D228" t="n">
        <v>70.93881016823222</v>
      </c>
      <c r="E228" t="n">
        <v>93.63193768257059</v>
      </c>
      <c r="F228" t="n">
        <v>78.59715003582863</v>
      </c>
      <c r="G228" t="n">
        <v>68.06233275617819</v>
      </c>
      <c r="H228" t="n">
        <v/>
      </c>
    </row>
    <row r="229">
      <c r="A229" s="45" t="n">
        <v>45982</v>
      </c>
      <c r="B229" t="n">
        <v>75.48641758553572</v>
      </c>
      <c r="C229" t="n">
        <v>72.22068454090639</v>
      </c>
      <c r="D229" t="n">
        <v>68.29061189831768</v>
      </c>
      <c r="E229" t="n">
        <v>103.8948393378773</v>
      </c>
      <c r="F229" t="n">
        <v>75.32721978829356</v>
      </c>
      <c r="G229" t="n">
        <v>64.39477412246184</v>
      </c>
      <c r="H229" t="n">
        <v/>
      </c>
    </row>
    <row r="230">
      <c r="A230" s="45" t="n">
        <v>45983</v>
      </c>
      <c r="B230" t="n">
        <v>75.14086961148132</v>
      </c>
      <c r="C230" t="n">
        <v>72.33218094273211</v>
      </c>
      <c r="D230" t="n">
        <v>67.71214774717401</v>
      </c>
      <c r="E230" t="n">
        <v>108.412852969815</v>
      </c>
      <c r="F230" t="n">
        <v>75.62836176948126</v>
      </c>
      <c r="G230" t="n">
        <v>63.68644734770975</v>
      </c>
      <c r="H230" t="n">
        <v/>
      </c>
    </row>
    <row r="231">
      <c r="A231" s="45" t="n">
        <v>45984</v>
      </c>
      <c r="B231" t="n">
        <v>76.99435599359784</v>
      </c>
      <c r="C231" t="n">
        <v>73.16879562996773</v>
      </c>
      <c r="D231" t="n">
        <v>69.29894390489838</v>
      </c>
      <c r="E231" t="n">
        <v>105.0243427458617</v>
      </c>
      <c r="F231" t="n">
        <v>76.51908895480149</v>
      </c>
      <c r="G231" t="n">
        <v>64.30033055249488</v>
      </c>
      <c r="H231" t="n">
        <v/>
      </c>
    </row>
    <row r="232">
      <c r="A232" s="45" t="n">
        <v>45985</v>
      </c>
      <c r="B232" t="n">
        <v>78.29785102128584</v>
      </c>
      <c r="C232" t="n">
        <v>77.11738717190813</v>
      </c>
      <c r="D232" t="n">
        <v>73.47025420580586</v>
      </c>
      <c r="E232" t="n">
        <v>106.9717624148004</v>
      </c>
      <c r="F232" t="n">
        <v>78.45292842435622</v>
      </c>
      <c r="G232" t="n">
        <v>67.30678419644262</v>
      </c>
      <c r="H232" t="n">
        <v/>
      </c>
    </row>
    <row r="233">
      <c r="A233" s="45" t="n">
        <v>45986</v>
      </c>
      <c r="B233" t="n">
        <v>77.47315217535879</v>
      </c>
      <c r="C233" t="n">
        <v>77.27353435760318</v>
      </c>
      <c r="D233" t="n">
        <v>73.74621875497532</v>
      </c>
      <c r="E233" t="n">
        <v>102.6874391431353</v>
      </c>
      <c r="F233" t="n">
        <v>78.23977069670831</v>
      </c>
      <c r="G233" t="n">
        <v>66.39382968676216</v>
      </c>
      <c r="H233" t="n">
        <v/>
      </c>
    </row>
    <row r="234">
      <c r="A234" s="45" t="n">
        <v>45987</v>
      </c>
      <c r="B234" t="n">
        <v>80.23446789832809</v>
      </c>
      <c r="C234" t="n">
        <v>79.02823182895877</v>
      </c>
      <c r="D234" t="n">
        <v>75.90086504272143</v>
      </c>
      <c r="E234" t="n">
        <v>105.8812074001948</v>
      </c>
      <c r="F234" t="n">
        <v>80.8892758986639</v>
      </c>
      <c r="G234" t="n">
        <v>68.56603179600189</v>
      </c>
      <c r="H234" t="n">
        <v/>
      </c>
    </row>
    <row r="235">
      <c r="A235" s="45" t="n">
        <v>45988</v>
      </c>
      <c r="B235" t="n">
        <v>80.98812231488502</v>
      </c>
      <c r="C235" t="n">
        <v>78.73238774636266</v>
      </c>
      <c r="D235" t="n">
        <v>74.74924375099505</v>
      </c>
      <c r="E235" t="n">
        <v>103.7390457643622</v>
      </c>
      <c r="F235" t="n">
        <v>81.24846934610466</v>
      </c>
      <c r="G235" t="n">
        <v>68.17251692113962</v>
      </c>
      <c r="H235" t="n">
        <v/>
      </c>
    </row>
    <row r="236">
      <c r="A236" s="45" t="n">
        <v>45989</v>
      </c>
      <c r="B236" t="n">
        <v>80.59508133487623</v>
      </c>
      <c r="C236" t="n">
        <v>79.14808393302906</v>
      </c>
      <c r="D236" t="n">
        <v>72.88117603354031</v>
      </c>
      <c r="E236" t="n">
        <v>106.8354430379747</v>
      </c>
      <c r="F236" t="n">
        <v>80.47293803913031</v>
      </c>
      <c r="G236" t="n">
        <v>66.09475838186684</v>
      </c>
      <c r="H236" t="n">
        <v/>
      </c>
    </row>
    <row r="237">
      <c r="A237" s="45" t="n">
        <v>45990</v>
      </c>
      <c r="B237" t="n">
        <v>80.51681896173338</v>
      </c>
      <c r="C237" t="n">
        <v>78.05165912912693</v>
      </c>
      <c r="D237" t="n">
        <v>72.12758053388526</v>
      </c>
      <c r="E237" t="n">
        <v>101.5579357351509</v>
      </c>
      <c r="F237" t="n">
        <v>79.17675764419894</v>
      </c>
      <c r="G237" t="n">
        <v>65.27624744215332</v>
      </c>
      <c r="H237" t="n">
        <v/>
      </c>
    </row>
    <row r="238">
      <c r="A238" s="45" t="n">
        <v>45991</v>
      </c>
      <c r="B238" t="n">
        <v>80.12449622920074</v>
      </c>
      <c r="C238" t="n">
        <v>78.10649342510681</v>
      </c>
      <c r="D238" t="n">
        <v>70.83797696757415</v>
      </c>
      <c r="E238" t="n">
        <v>105.3164556962025</v>
      </c>
      <c r="F238" t="n">
        <v>79.39535769680806</v>
      </c>
      <c r="G238" t="n">
        <v>65.21328506217536</v>
      </c>
      <c r="H238" t="n">
        <v/>
      </c>
    </row>
    <row r="239">
      <c r="A239" s="45" t="n">
        <v>45992</v>
      </c>
      <c r="B239" t="n">
        <v>76.51198630896168</v>
      </c>
      <c r="C239" t="n">
        <v>73.08811088016878</v>
      </c>
      <c r="D239" t="n">
        <v>67.21859576500557</v>
      </c>
      <c r="E239" t="n">
        <v>101.8889970788705</v>
      </c>
      <c r="F239" t="n">
        <v>74.97800393661505</v>
      </c>
      <c r="G239" t="n">
        <v>60.6957342987565</v>
      </c>
      <c r="H239" t="n">
        <v/>
      </c>
    </row>
    <row r="240">
      <c r="A240" s="45" t="n">
        <v>45993</v>
      </c>
      <c r="B240" t="n">
        <v>80.93840362847985</v>
      </c>
      <c r="C240" t="n">
        <v>78.23209007447021</v>
      </c>
      <c r="D240" t="n">
        <v>73.59762245926869</v>
      </c>
      <c r="E240" t="n">
        <v>106.1927945472249</v>
      </c>
      <c r="F240" t="n">
        <v>79.51327473763459</v>
      </c>
      <c r="G240" t="n">
        <v>68.23547930111758</v>
      </c>
      <c r="H240" t="n">
        <v/>
      </c>
    </row>
    <row r="241">
      <c r="A241" s="45" t="n">
        <v>45994</v>
      </c>
      <c r="B241" t="n">
        <v>82.84669850010418</v>
      </c>
      <c r="C241" t="n">
        <v>83.25308377635963</v>
      </c>
      <c r="D241" t="n">
        <v>76.77652178527833</v>
      </c>
      <c r="E241" t="n">
        <v>115.014605647517</v>
      </c>
      <c r="F241" t="n">
        <v>83.51791885493482</v>
      </c>
      <c r="G241" t="n">
        <v>70.81693688021407</v>
      </c>
      <c r="H241" t="n">
        <v/>
      </c>
    </row>
    <row r="242">
      <c r="A242" s="45" t="n">
        <v>45995</v>
      </c>
      <c r="B242" t="n">
        <v>81.6479434623962</v>
      </c>
      <c r="C242" t="n">
        <v>81.8143362961261</v>
      </c>
      <c r="D242" t="n">
        <v>73.77275380778006</v>
      </c>
      <c r="E242" t="n">
        <v>111.9571567672834</v>
      </c>
      <c r="F242" t="n">
        <v>81.62761798506988</v>
      </c>
      <c r="G242" t="n">
        <v>69.16417440579255</v>
      </c>
      <c r="H242" t="n">
        <v/>
      </c>
    </row>
    <row r="243">
      <c r="A243" s="45" t="n">
        <v>45996</v>
      </c>
      <c r="B243" t="n">
        <v>79.21120466062807</v>
      </c>
      <c r="C243" t="n">
        <v>78.90341852668081</v>
      </c>
      <c r="D243" t="n">
        <v>70.73714376691609</v>
      </c>
      <c r="E243" t="n">
        <v>108.9776046738072</v>
      </c>
      <c r="F243" t="n">
        <v>80.1445844331365</v>
      </c>
      <c r="G243" t="n">
        <v>65.43365339209822</v>
      </c>
      <c r="H243" t="n">
        <v/>
      </c>
    </row>
    <row r="244">
      <c r="A244" s="45" t="n">
        <v>45997</v>
      </c>
      <c r="B244" t="n">
        <v>79.12851752834194</v>
      </c>
      <c r="C244" t="n">
        <v>79.32851487837232</v>
      </c>
      <c r="D244" t="n">
        <v>70.15337260521149</v>
      </c>
      <c r="E244" t="n">
        <v>113.6319376825706</v>
      </c>
      <c r="F244" t="n">
        <v>80.76228831623537</v>
      </c>
      <c r="G244" t="n">
        <v>65.1345820872029</v>
      </c>
      <c r="H244" t="n">
        <v/>
      </c>
    </row>
    <row r="245">
      <c r="A245" s="45" t="n">
        <v>45998</v>
      </c>
      <c r="B245" t="n">
        <v>80.15580649880957</v>
      </c>
      <c r="C245" t="n">
        <v>79.89748597808716</v>
      </c>
      <c r="D245" t="n">
        <v>70.17990765801623</v>
      </c>
      <c r="E245" t="n">
        <v>116.5530671859786</v>
      </c>
      <c r="F245" t="n">
        <v>81.12420292615671</v>
      </c>
      <c r="G245" t="n">
        <v>65.68550291201008</v>
      </c>
      <c r="H245" t="n">
        <v/>
      </c>
    </row>
    <row r="246">
      <c r="A246" s="45" t="n">
        <v>45999</v>
      </c>
      <c r="B246" t="n">
        <v>80.36776044229856</v>
      </c>
      <c r="C246" t="n">
        <v>81.57672101354669</v>
      </c>
      <c r="D246" t="n">
        <v>70.71591572467229</v>
      </c>
      <c r="E246" t="n">
        <v>112.7750730282376</v>
      </c>
      <c r="F246" t="n">
        <v>81.37364282021279</v>
      </c>
      <c r="G246" t="n">
        <v>68.12529513615615</v>
      </c>
      <c r="H246" t="n">
        <v/>
      </c>
    </row>
    <row r="247">
      <c r="A247" s="45" t="n">
        <v>46000</v>
      </c>
      <c r="B247" t="n">
        <v>82.18063480662738</v>
      </c>
      <c r="C247" t="n">
        <v>86.63923211096373</v>
      </c>
      <c r="D247" t="n">
        <v>73.17306161439261</v>
      </c>
      <c r="E247" t="n">
        <v>113.9240506329114</v>
      </c>
      <c r="F247" t="n">
        <v>81.38996979509646</v>
      </c>
      <c r="G247" t="n">
        <v>73.93357468912325</v>
      </c>
      <c r="H247" t="n">
        <v/>
      </c>
    </row>
    <row r="248">
      <c r="A248" s="45" t="n">
        <v>46001</v>
      </c>
      <c r="B248" t="n">
        <v>81.59235465464266</v>
      </c>
      <c r="C248" t="n">
        <v>86.79851268500047</v>
      </c>
      <c r="D248" t="n">
        <v>72.31332590351855</v>
      </c>
      <c r="E248" t="n">
        <v>111.5092502434275</v>
      </c>
      <c r="F248" t="n">
        <v>81.03893983509755</v>
      </c>
      <c r="G248" t="n">
        <v>71.39933889501023</v>
      </c>
      <c r="H248" t="n">
        <v/>
      </c>
    </row>
    <row r="249">
      <c r="A249" s="45" t="n">
        <v>46002</v>
      </c>
      <c r="B249" t="n">
        <v>82.03395271094087</v>
      </c>
      <c r="C249" t="n">
        <v>84.53333402964186</v>
      </c>
      <c r="D249" t="n">
        <v>72.39293106193281</v>
      </c>
      <c r="E249" t="n">
        <v>111.840311587147</v>
      </c>
      <c r="F249" t="n">
        <v>80.35683510662422</v>
      </c>
      <c r="G249" t="n">
        <v>66.97623170155832</v>
      </c>
      <c r="H249" t="n">
        <v/>
      </c>
    </row>
    <row r="250">
      <c r="A250" s="45" t="n">
        <v>46003</v>
      </c>
      <c r="B250" t="n">
        <v>80.04328992813092</v>
      </c>
      <c r="C250" t="n">
        <v>80.55053633163783</v>
      </c>
      <c r="D250" t="n">
        <v>70.19582868969908</v>
      </c>
      <c r="E250" t="n">
        <v>113.3203505355404</v>
      </c>
      <c r="F250" t="n">
        <v>79.96408065525593</v>
      </c>
      <c r="G250" t="n">
        <v>64.39477412246184</v>
      </c>
      <c r="H250" t="n">
        <v/>
      </c>
    </row>
    <row r="251">
      <c r="A251" s="45" t="n">
        <v>46004</v>
      </c>
      <c r="B251" t="n">
        <v>80.01809806294862</v>
      </c>
      <c r="C251" t="n">
        <v>81.3281388717713</v>
      </c>
      <c r="D251" t="n">
        <v>70.65753860850182</v>
      </c>
      <c r="E251" t="n">
        <v>112.9308666017527</v>
      </c>
      <c r="F251" t="n">
        <v>81.34643119540668</v>
      </c>
      <c r="G251" t="n">
        <v>64.6151424523847</v>
      </c>
      <c r="H251" t="n">
        <v/>
      </c>
    </row>
    <row r="252">
      <c r="A252" s="45" t="n">
        <v>46005</v>
      </c>
      <c r="B252" t="n">
        <v>78.18449206159194</v>
      </c>
      <c r="C252" t="n">
        <v>79.99279320681408</v>
      </c>
      <c r="D252" t="n">
        <v>68.67271665870615</v>
      </c>
      <c r="E252" t="n">
        <v>108.7244401168452</v>
      </c>
      <c r="F252" t="n">
        <v>79.57314031220804</v>
      </c>
      <c r="G252" t="n">
        <v>62.37997796316701</v>
      </c>
      <c r="H252" t="n">
        <v/>
      </c>
    </row>
    <row r="253">
      <c r="A253" s="45" t="n">
        <v>46006</v>
      </c>
      <c r="B253" t="n">
        <v>76.64151027049554</v>
      </c>
      <c r="C253" t="n">
        <v>77.41688687423624</v>
      </c>
      <c r="D253" t="n">
        <v>67.82890197951494</v>
      </c>
      <c r="E253" t="n">
        <v>104.4011684518014</v>
      </c>
      <c r="F253" t="n">
        <v>77.87967019510735</v>
      </c>
      <c r="G253" t="n">
        <v>61.10498976861325</v>
      </c>
      <c r="H253" t="n">
        <v/>
      </c>
    </row>
    <row r="254">
      <c r="A254" s="45" t="n">
        <v>46007</v>
      </c>
      <c r="B254" t="n">
        <v>77.91071563163658</v>
      </c>
      <c r="C254" t="n">
        <v>77.35030237197499</v>
      </c>
      <c r="D254" t="n">
        <v>68.54004139468238</v>
      </c>
      <c r="E254" t="n">
        <v>106.3875365141188</v>
      </c>
      <c r="F254" t="n">
        <v>79.42438342993459</v>
      </c>
      <c r="G254" t="n">
        <v>60.74295608373998</v>
      </c>
      <c r="H254" t="n">
        <v/>
      </c>
    </row>
    <row r="255">
      <c r="A255" s="45" t="n">
        <v>46008</v>
      </c>
      <c r="B255" t="n">
        <v>76.47404333426439</v>
      </c>
      <c r="C255" t="n">
        <v>73.98687110284826</v>
      </c>
      <c r="D255" t="n">
        <v>65.41951918484318</v>
      </c>
      <c r="E255" t="n">
        <v>106.4654333008763</v>
      </c>
      <c r="F255" t="n">
        <v>76.47101508431069</v>
      </c>
      <c r="G255" t="n">
        <v>57.81520541476468</v>
      </c>
      <c r="H255" t="n">
        <v/>
      </c>
    </row>
    <row r="256">
      <c r="A256" s="45" t="n">
        <v>46009</v>
      </c>
      <c r="B256" t="n">
        <v>75.82956253408351</v>
      </c>
      <c r="C256" t="n">
        <v>73.85840218083828</v>
      </c>
      <c r="D256" t="n">
        <v>63.47184630897414</v>
      </c>
      <c r="E256" t="n">
        <v>110.2044790652386</v>
      </c>
      <c r="F256" t="n">
        <v>75.2918446760456</v>
      </c>
      <c r="G256" t="n">
        <v>55.31245081064065</v>
      </c>
      <c r="H256" t="n">
        <v/>
      </c>
    </row>
    <row r="257">
      <c r="A257" s="45" t="n">
        <v>46010</v>
      </c>
      <c r="B257" t="n">
        <v>78.15325273000545</v>
      </c>
      <c r="C257" t="n">
        <v>77.79942136761957</v>
      </c>
      <c r="D257" t="n">
        <v>67.01162235312847</v>
      </c>
      <c r="E257" t="n">
        <v>121.6942551119766</v>
      </c>
      <c r="F257" t="n">
        <v>77.65925603417779</v>
      </c>
      <c r="G257" t="n">
        <v>59.29482134424681</v>
      </c>
      <c r="H257" t="n">
        <v/>
      </c>
    </row>
    <row r="258">
      <c r="A258" s="45" t="n">
        <v>46011</v>
      </c>
      <c r="B258" t="n">
        <v>78.35184372353679</v>
      </c>
      <c r="C258" t="n">
        <v>77.75842620348223</v>
      </c>
      <c r="D258" t="n">
        <v>66.76749986732473</v>
      </c>
      <c r="E258" t="n">
        <v>115.3067185978578</v>
      </c>
      <c r="F258" t="n">
        <v>77.47784520213702</v>
      </c>
      <c r="G258" t="n">
        <v>58.71241932945066</v>
      </c>
      <c r="H258" t="n">
        <v/>
      </c>
    </row>
    <row r="259">
      <c r="A259" s="45" t="n">
        <v>46012</v>
      </c>
      <c r="B259" t="n">
        <v>78.6160523877295</v>
      </c>
      <c r="C259" t="n">
        <v>78.38745391307981</v>
      </c>
      <c r="D259" t="n">
        <v>66.88425409966565</v>
      </c>
      <c r="E259" t="n">
        <v>115.111976630964</v>
      </c>
      <c r="F259" t="n">
        <v>77.88329841174816</v>
      </c>
      <c r="G259" t="n">
        <v>57.64205886982528</v>
      </c>
      <c r="H259" t="n">
        <v/>
      </c>
    </row>
    <row r="260">
      <c r="A260" s="45" t="n">
        <v>46013</v>
      </c>
      <c r="B260" t="n">
        <v>78.58229475635005</v>
      </c>
      <c r="C260" t="n">
        <v>78.58250733735103</v>
      </c>
      <c r="D260" t="n">
        <v>66.83118399405615</v>
      </c>
      <c r="E260" t="n">
        <v>114.9756572541383</v>
      </c>
      <c r="F260" t="n">
        <v>77.88511252006856</v>
      </c>
      <c r="G260" t="n">
        <v>58.41334802455533</v>
      </c>
      <c r="H260" t="n">
        <v/>
      </c>
    </row>
    <row r="261">
      <c r="A261" s="45" t="n">
        <v>46014</v>
      </c>
      <c r="B261" t="n">
        <v>77.57604777675805</v>
      </c>
      <c r="C261" t="n">
        <v>77.42132584105366</v>
      </c>
      <c r="D261" t="n">
        <v>65.81223796635355</v>
      </c>
      <c r="E261" t="n">
        <v>111.4897760467381</v>
      </c>
      <c r="F261" t="n">
        <v>76.58258274601576</v>
      </c>
      <c r="G261" t="n">
        <v>57.1068786400126</v>
      </c>
      <c r="H261" t="n">
        <v/>
      </c>
    </row>
    <row r="262">
      <c r="A262" s="45" t="n">
        <v>46015</v>
      </c>
      <c r="B262" t="n">
        <v>77.73871752922868</v>
      </c>
      <c r="C262" t="n">
        <v>76.96306779607909</v>
      </c>
      <c r="D262" t="n">
        <v>65.0268004033328</v>
      </c>
      <c r="E262" t="n">
        <v>110.7497565725414</v>
      </c>
      <c r="F262" t="n">
        <v>76.78939109454225</v>
      </c>
      <c r="G262" t="n">
        <v>56.13096175035416</v>
      </c>
      <c r="H262" t="n">
        <v/>
      </c>
    </row>
    <row r="263">
      <c r="A263" s="45" t="n">
        <v>46016</v>
      </c>
      <c r="B263" t="n">
        <v>77.34485189471025</v>
      </c>
      <c r="C263" t="n">
        <v>75.82669229082022</v>
      </c>
      <c r="D263" t="n">
        <v>63.7159687947779</v>
      </c>
      <c r="E263" t="n">
        <v>114.8588120740019</v>
      </c>
      <c r="F263" t="n">
        <v>75.25284134715685</v>
      </c>
      <c r="G263" t="n">
        <v>54.05320321108138</v>
      </c>
      <c r="H263" t="n">
        <v/>
      </c>
    </row>
    <row r="264">
      <c r="A264" s="45" t="n">
        <v>46017</v>
      </c>
      <c r="B264" t="n">
        <v>77.4727974852471</v>
      </c>
      <c r="C264" t="n">
        <v>76.45441442194208</v>
      </c>
      <c r="D264" t="n">
        <v>64.88351111818712</v>
      </c>
      <c r="E264" t="n">
        <v>115.8519961051607</v>
      </c>
      <c r="F264" t="n">
        <v>75.71362486054042</v>
      </c>
      <c r="G264" t="n">
        <v>55.02912010073982</v>
      </c>
      <c r="H264" t="n">
        <v/>
      </c>
    </row>
    <row r="265">
      <c r="A265" s="45" t="n">
        <v>46018</v>
      </c>
      <c r="B265" t="n">
        <v>77.922766228181</v>
      </c>
      <c r="C265" t="n">
        <v>77.00432407591157</v>
      </c>
      <c r="D265" t="n">
        <v>66.19434272674202</v>
      </c>
      <c r="E265" t="n">
        <v>121.4021421616358</v>
      </c>
      <c r="F265" t="n">
        <v>76.64970475387085</v>
      </c>
      <c r="G265" t="n">
        <v>58.24020147961593</v>
      </c>
      <c r="H265" t="n">
        <v/>
      </c>
    </row>
    <row r="266">
      <c r="A266" s="45" t="n">
        <v>46019</v>
      </c>
      <c r="B266" t="n">
        <v>77.98989133181703</v>
      </c>
      <c r="C266" t="n">
        <v>77.05289159520801</v>
      </c>
      <c r="D266" t="n">
        <v>66.48092129703338</v>
      </c>
      <c r="E266" t="n">
        <v>121.207400194742</v>
      </c>
      <c r="F266" t="n">
        <v>77.94497809464204</v>
      </c>
      <c r="G266" t="n">
        <v>58.05131433968205</v>
      </c>
      <c r="H266" t="n">
        <v/>
      </c>
    </row>
    <row r="267">
      <c r="A267" s="45" t="n">
        <v>46020</v>
      </c>
      <c r="B267" t="n">
        <v>77.35536845652165</v>
      </c>
      <c r="C267" t="n">
        <v>76.71318007582801</v>
      </c>
      <c r="D267" t="n">
        <v>65.42482619540412</v>
      </c>
      <c r="E267" t="n">
        <v>116.6893865628043</v>
      </c>
      <c r="F267" t="n">
        <v>77.32273894074216</v>
      </c>
      <c r="G267" t="n">
        <v>55.59578152054148</v>
      </c>
      <c r="H267" t="n">
        <v/>
      </c>
    </row>
    <row r="268">
      <c r="A268" s="45" t="n">
        <v>46021</v>
      </c>
      <c r="B268" t="n">
        <v>78.46232082607327</v>
      </c>
      <c r="C268" t="n">
        <v>77.64771314874194</v>
      </c>
      <c r="D268" t="n">
        <v>66.34293902244866</v>
      </c>
      <c r="E268" t="n">
        <v>116.0272638753651</v>
      </c>
      <c r="F268" t="n">
        <v>78.15632171396953</v>
      </c>
      <c r="G268" t="n">
        <v>55.31245081064065</v>
      </c>
      <c r="H268" t="n">
        <v/>
      </c>
    </row>
    <row r="269">
      <c r="A269" s="45" t="n">
        <v>46022</v>
      </c>
      <c r="B269" t="n">
        <v>77.7198923515511</v>
      </c>
      <c r="C269" t="n">
        <v>77.59418443123779</v>
      </c>
      <c r="D269" t="n">
        <v>66.15188664225442</v>
      </c>
      <c r="E269" t="n">
        <v>116.7478091528724</v>
      </c>
      <c r="F269" t="n">
        <v>78.39669106642357</v>
      </c>
      <c r="G269" t="n">
        <v>52.4948843066268</v>
      </c>
      <c r="H269" t="n">
        <v/>
      </c>
    </row>
    <row r="270">
      <c r="A270" s="45" t="n">
        <v>46023</v>
      </c>
      <c r="B270" t="n">
        <v>78.77582254853712</v>
      </c>
      <c r="C270" t="n">
        <v>78.44411601892567</v>
      </c>
      <c r="D270" t="n">
        <v>67.34596401846839</v>
      </c>
      <c r="E270" t="n">
        <v>115.5209347614411</v>
      </c>
      <c r="F270" t="n">
        <v>78.40485455386541</v>
      </c>
      <c r="G270" t="n">
        <v>56.11522115535968</v>
      </c>
      <c r="H270" t="n">
        <v/>
      </c>
    </row>
    <row r="271">
      <c r="A271" s="45" t="n">
        <v>46024</v>
      </c>
      <c r="B271" t="n">
        <v>79.80095677657627</v>
      </c>
      <c r="C271" t="n">
        <v>81.61040493822003</v>
      </c>
      <c r="D271" t="n">
        <v>70.20644271082099</v>
      </c>
      <c r="E271" t="n">
        <v>118.7536514118793</v>
      </c>
      <c r="F271" t="n">
        <v>79.9341478679692</v>
      </c>
      <c r="G271" t="n">
        <v>62.15960963324414</v>
      </c>
      <c r="H271" t="n">
        <v/>
      </c>
    </row>
    <row r="272">
      <c r="A272" s="45" t="n">
        <v>46025</v>
      </c>
      <c r="B272" t="n">
        <v>80.36214747128118</v>
      </c>
      <c r="C272" t="n">
        <v>81.65375014361364</v>
      </c>
      <c r="D272" t="n">
        <v>70.7795998514037</v>
      </c>
      <c r="E272" t="n">
        <v>127.458617332035</v>
      </c>
      <c r="F272" t="n">
        <v>79.69649967799577</v>
      </c>
      <c r="G272" t="n">
        <v>61.27813631355266</v>
      </c>
      <c r="H272" t="n">
        <v/>
      </c>
    </row>
    <row r="273">
      <c r="A273" s="45" t="n">
        <v>46026</v>
      </c>
      <c r="B273" t="n">
        <v>81.16172539004828</v>
      </c>
      <c r="C273" t="n">
        <v>82.11305265136876</v>
      </c>
      <c r="D273" t="n">
        <v>71.17762564347503</v>
      </c>
      <c r="E273" t="n">
        <v>124.4595910418695</v>
      </c>
      <c r="F273" t="n">
        <v>81.22035066713833</v>
      </c>
      <c r="G273" t="n">
        <v>63.07256414292461</v>
      </c>
      <c r="H273" t="n">
        <v/>
      </c>
    </row>
    <row r="274">
      <c r="A274" s="45" t="n">
        <v>46027</v>
      </c>
      <c r="B274" t="n">
        <v>83.22777755609646</v>
      </c>
      <c r="C274" t="n">
        <v>84.20955056766553</v>
      </c>
      <c r="D274" t="n">
        <v>73.1836756355145</v>
      </c>
      <c r="E274" t="n">
        <v>125.6475170399221</v>
      </c>
      <c r="F274" t="n">
        <v>82.57004725752174</v>
      </c>
      <c r="G274" t="n">
        <v>66.28364552180072</v>
      </c>
      <c r="H274" t="n">
        <v/>
      </c>
    </row>
    <row r="275">
      <c r="A275" s="45" t="n">
        <v>46028</v>
      </c>
      <c r="B275" t="n">
        <v>83.12869487339781</v>
      </c>
      <c r="C275" t="n">
        <v>86.08566683726227</v>
      </c>
      <c r="D275" t="n">
        <v>74.87130499389694</v>
      </c>
      <c r="E275" t="n">
        <v>124.2843232716651</v>
      </c>
      <c r="F275" t="n">
        <v>83.23491795695121</v>
      </c>
      <c r="G275" t="n">
        <v>66.01605540689438</v>
      </c>
      <c r="H275" t="n">
        <v/>
      </c>
    </row>
    <row r="276">
      <c r="A276" s="45" t="n">
        <v>46029</v>
      </c>
      <c r="B276" t="n">
        <v>81.01491028556987</v>
      </c>
      <c r="C276" t="n">
        <v>82.74025255110034</v>
      </c>
      <c r="D276" t="n">
        <v>72.3823170408109</v>
      </c>
      <c r="E276" t="n">
        <v>122.5316455696203</v>
      </c>
      <c r="F276" t="n">
        <v>81.66208604315763</v>
      </c>
      <c r="G276" t="n">
        <v>63.30867306784197</v>
      </c>
      <c r="H276" t="n">
        <v/>
      </c>
    </row>
    <row r="277">
      <c r="A277" s="45" t="n">
        <v>46030</v>
      </c>
      <c r="B277" t="n">
        <v>80.78066406856161</v>
      </c>
      <c r="C277" t="n">
        <v>81.11950743135269</v>
      </c>
      <c r="D277" t="n">
        <v>73.43310513187922</v>
      </c>
      <c r="E277" t="n">
        <v>123.0769230769231</v>
      </c>
      <c r="F277" t="n">
        <v>80.93281449835369</v>
      </c>
      <c r="G277" t="n">
        <v>62.26979379820558</v>
      </c>
      <c r="H277" t="n">
        <v/>
      </c>
    </row>
    <row r="278">
      <c r="A278" s="45" t="n">
        <v>46031</v>
      </c>
      <c r="B278" t="n">
        <v>80.37391431573627</v>
      </c>
      <c r="C278" t="n">
        <v>80.64297128771817</v>
      </c>
      <c r="D278" t="n">
        <v>72.15942259725097</v>
      </c>
      <c r="E278" t="n">
        <v>123.6027263875365</v>
      </c>
      <c r="F278" t="n">
        <v>81.3500594120475</v>
      </c>
      <c r="G278" t="n">
        <v>61.60868880843696</v>
      </c>
      <c r="H278" t="n">
        <v/>
      </c>
    </row>
    <row r="279">
      <c r="A279" s="45" t="n">
        <v>46032</v>
      </c>
      <c r="B279" t="n">
        <v>80.25280537710209</v>
      </c>
      <c r="C279" t="n">
        <v>80.59910385093427</v>
      </c>
      <c r="D279" t="n">
        <v>72.09043145995861</v>
      </c>
      <c r="E279" t="n">
        <v>125.3943524829601</v>
      </c>
      <c r="F279" t="n">
        <v>82.35416836739321</v>
      </c>
      <c r="G279" t="n">
        <v>61.16795214859122</v>
      </c>
      <c r="H279" t="n">
        <v/>
      </c>
    </row>
    <row r="280">
      <c r="A280" s="45" t="n">
        <v>46033</v>
      </c>
      <c r="B280" t="n">
        <v>80.70410420795481</v>
      </c>
      <c r="C280" t="n">
        <v>81.55818179919159</v>
      </c>
      <c r="D280" t="n">
        <v>74.1389375364857</v>
      </c>
      <c r="E280" t="n">
        <v>126.4070107108082</v>
      </c>
      <c r="F280" t="n">
        <v>82.02672181555961</v>
      </c>
      <c r="G280" t="n">
        <v>61.54572642845901</v>
      </c>
      <c r="H280" t="n">
        <v/>
      </c>
    </row>
    <row r="281">
      <c r="A281" s="45" t="n">
        <v>46034</v>
      </c>
      <c r="B281" t="n">
        <v>80.95464843559492</v>
      </c>
      <c r="C281" t="n">
        <v>80.83489132364768</v>
      </c>
      <c r="D281" t="n">
        <v>73.88420102956005</v>
      </c>
      <c r="E281" t="n">
        <v>121.0710808179163</v>
      </c>
      <c r="F281" t="n">
        <v>82.15915172294937</v>
      </c>
      <c r="G281" t="n">
        <v>60.79017786872344</v>
      </c>
      <c r="H281" t="n">
        <v/>
      </c>
    </row>
    <row r="282">
      <c r="A282" s="45" t="n">
        <v>46035</v>
      </c>
      <c r="B282" t="n">
        <v>84.60600579031608</v>
      </c>
      <c r="C282" t="n">
        <v>86.84238012178437</v>
      </c>
      <c r="D282" t="n">
        <v>77.22231067239824</v>
      </c>
      <c r="E282" t="n">
        <v>120.1557935735151</v>
      </c>
      <c r="F282" t="n">
        <v>85.6014222609232</v>
      </c>
      <c r="G282" t="n">
        <v>66.39382968676216</v>
      </c>
      <c r="H282" t="n">
        <v/>
      </c>
    </row>
    <row r="283">
      <c r="A283" s="45" t="n">
        <v>46036</v>
      </c>
      <c r="B283" t="n">
        <v>85.96959419017597</v>
      </c>
      <c r="C283" t="n">
        <v>87.60222679464817</v>
      </c>
      <c r="D283" t="n">
        <v>77.84853791859045</v>
      </c>
      <c r="E283" t="n">
        <v>116.3388510223953</v>
      </c>
      <c r="F283" t="n">
        <v>86.03136593285984</v>
      </c>
      <c r="G283" t="n">
        <v>65.21328506217536</v>
      </c>
      <c r="H283" t="n">
        <v/>
      </c>
    </row>
    <row r="284">
      <c r="A284" s="45" t="n">
        <v>46037</v>
      </c>
      <c r="B284" t="n">
        <v>84.77519297358889</v>
      </c>
      <c r="C284" t="n">
        <v>86.65620463114797</v>
      </c>
      <c r="D284" t="n">
        <v>75.57183038794247</v>
      </c>
      <c r="E284" t="n">
        <v>115.0535540408958</v>
      </c>
      <c r="F284" t="n">
        <v>84.46488339818771</v>
      </c>
      <c r="G284" t="n">
        <v>61.95498189831576</v>
      </c>
      <c r="H284" t="n">
        <v/>
      </c>
    </row>
    <row r="285">
      <c r="A285" s="45" t="n">
        <v>46038</v>
      </c>
      <c r="B285" t="n">
        <v>84.72743395005077</v>
      </c>
      <c r="C285" t="n">
        <v>86.07104435833431</v>
      </c>
      <c r="D285" t="n">
        <v>76.89327601761926</v>
      </c>
      <c r="E285" t="n">
        <v>116.7478091528724</v>
      </c>
      <c r="F285" t="n">
        <v>85.09619309368962</v>
      </c>
      <c r="G285" t="n">
        <v>62.25405320321109</v>
      </c>
      <c r="H285" t="n">
        <v/>
      </c>
    </row>
    <row r="286">
      <c r="A286" s="45" t="n">
        <v>46039</v>
      </c>
      <c r="B286" t="n">
        <v>84.36993291923262</v>
      </c>
      <c r="C286" t="n">
        <v>86.44391757099737</v>
      </c>
      <c r="D286" t="n">
        <v>76.272355781988</v>
      </c>
      <c r="E286" t="n">
        <v>115.6962025316456</v>
      </c>
      <c r="F286" t="n">
        <v>85.90891362123232</v>
      </c>
      <c r="G286" t="n">
        <v>62.53738391311192</v>
      </c>
      <c r="H286" t="n">
        <v/>
      </c>
    </row>
    <row r="287">
      <c r="A287" s="45" t="n">
        <v>46040</v>
      </c>
      <c r="B287" t="n">
        <v>83.06234122075469</v>
      </c>
      <c r="C287" t="n">
        <v>85.7511776317851</v>
      </c>
      <c r="D287" t="n">
        <v>73.16775460383165</v>
      </c>
      <c r="E287" t="n">
        <v>115.1703992210321</v>
      </c>
      <c r="F287" t="n">
        <v>84.58370749317442</v>
      </c>
      <c r="G287" t="n">
        <v>59.1531559892964</v>
      </c>
      <c r="H287" t="n">
        <v/>
      </c>
    </row>
    <row r="288">
      <c r="A288" s="45" t="n">
        <v>46041</v>
      </c>
      <c r="B288" t="n">
        <v>82.13824933828126</v>
      </c>
      <c r="C288" t="n">
        <v>83.28415654408155</v>
      </c>
      <c r="D288" t="n">
        <v>70.81674892533036</v>
      </c>
      <c r="E288" t="n">
        <v>113.7293086660175</v>
      </c>
      <c r="F288" t="n">
        <v>83.77552223643275</v>
      </c>
      <c r="G288" t="n">
        <v>58.2874232645994</v>
      </c>
      <c r="H288" t="n">
        <v/>
      </c>
    </row>
    <row r="289">
      <c r="A289" s="45" t="n">
        <v>46042</v>
      </c>
      <c r="B289" t="n">
        <v>78.41104150317669</v>
      </c>
      <c r="C289" t="n">
        <v>76.76488098346617</v>
      </c>
      <c r="D289" t="n">
        <v>66.76219285676378</v>
      </c>
      <c r="E289" t="n">
        <v>111.6260954235638</v>
      </c>
      <c r="F289" t="n">
        <v>80.20172884522935</v>
      </c>
      <c r="G289" t="n">
        <v>55.20226664567921</v>
      </c>
      <c r="H289" t="n">
        <v/>
      </c>
    </row>
    <row r="290">
      <c r="A290" s="45" t="n">
        <v>46043</v>
      </c>
      <c r="B290" t="n">
        <v>79.32177043569246</v>
      </c>
      <c r="C290" t="n">
        <v>77.87175041517396</v>
      </c>
      <c r="D290" t="n">
        <v>68.74701480655946</v>
      </c>
      <c r="E290" t="n">
        <v>113.8851022395326</v>
      </c>
      <c r="F290" t="n">
        <v>80.12553629577222</v>
      </c>
      <c r="G290" t="n">
        <v>57.59483708484181</v>
      </c>
      <c r="H290" t="n">
        <v/>
      </c>
    </row>
    <row r="291">
      <c r="A291" s="45" t="n">
        <v>46044</v>
      </c>
      <c r="B291" t="n">
        <v>79.41482338649251</v>
      </c>
      <c r="C291" t="n">
        <v>77.09937018894331</v>
      </c>
      <c r="D291" t="n">
        <v>68.17916467653771</v>
      </c>
      <c r="E291" t="n">
        <v>116.6893865628043</v>
      </c>
      <c r="F291" t="n">
        <v>80.55185175106804</v>
      </c>
      <c r="G291" t="n">
        <v>56.57169841019991</v>
      </c>
      <c r="H291" t="n">
        <v/>
      </c>
    </row>
    <row r="292">
      <c r="A292" s="45" t="n">
        <v>46045</v>
      </c>
      <c r="B292" t="n">
        <v>79.45081556557555</v>
      </c>
      <c r="C292" t="n">
        <v>77.19650522753622</v>
      </c>
      <c r="D292" t="n">
        <v>67.62723557819879</v>
      </c>
      <c r="E292" t="n">
        <v>116.0077896786757</v>
      </c>
      <c r="F292" t="n">
        <v>80.87567008626085</v>
      </c>
      <c r="G292" t="n">
        <v>56.69762317015584</v>
      </c>
      <c r="H292" t="n">
        <v/>
      </c>
    </row>
    <row r="293">
      <c r="A293" s="45" t="n">
        <v>46046</v>
      </c>
      <c r="B293" t="n">
        <v>79.11836452389502</v>
      </c>
      <c r="C293" t="n">
        <v>77.11320932078584</v>
      </c>
      <c r="D293" t="n">
        <v>67.51048134585787</v>
      </c>
      <c r="E293" t="n">
        <v>115.5988315481986</v>
      </c>
      <c r="F293" t="n">
        <v>80.47112393080991</v>
      </c>
      <c r="G293" t="n">
        <v>56.39855186526052</v>
      </c>
      <c r="H293" t="n">
        <v/>
      </c>
    </row>
    <row r="294">
      <c r="A294" s="45" t="n">
        <v>46047</v>
      </c>
      <c r="B294" t="n">
        <v>76.85279917002515</v>
      </c>
      <c r="C294" t="n">
        <v>73.55341904891219</v>
      </c>
      <c r="D294" t="n">
        <v>63.07382051690282</v>
      </c>
      <c r="E294" t="n">
        <v>111.4313534566699</v>
      </c>
      <c r="F294" t="n">
        <v>78.55270438197864</v>
      </c>
      <c r="G294" t="n">
        <v>53.37635762631828</v>
      </c>
      <c r="H294" t="n">
        <v/>
      </c>
    </row>
    <row r="295">
      <c r="A295" s="45" t="n">
        <v>46048</v>
      </c>
      <c r="B295" t="n">
        <v>78.33958918017815</v>
      </c>
      <c r="C295" t="n">
        <v>76.51603772599563</v>
      </c>
      <c r="D295" t="n">
        <v>65.93429920925541</v>
      </c>
      <c r="E295" t="n">
        <v>112.6971762414801</v>
      </c>
      <c r="F295" t="n">
        <v>79.76724990249167</v>
      </c>
      <c r="G295" t="n">
        <v>55.42263497560208</v>
      </c>
      <c r="H295" t="n">
        <v/>
      </c>
    </row>
    <row r="296">
      <c r="A296" s="45" t="n">
        <v>46049</v>
      </c>
      <c r="B296" t="n">
        <v>79.14023116928028</v>
      </c>
      <c r="C296" t="n">
        <v>79.03371525855677</v>
      </c>
      <c r="D296" t="n">
        <v>67.49986732473597</v>
      </c>
      <c r="E296" t="n">
        <v>116.8841285296982</v>
      </c>
      <c r="F296" t="n">
        <v>81.48611753607807</v>
      </c>
      <c r="G296" t="n">
        <v>56.79206674012278</v>
      </c>
      <c r="H296" t="n">
        <v/>
      </c>
    </row>
    <row r="297">
      <c r="A297" s="45" t="n">
        <v>46050</v>
      </c>
      <c r="B297" t="n">
        <v>79.18455856598789</v>
      </c>
      <c r="C297" t="n">
        <v>78.61619126202439</v>
      </c>
      <c r="D297" t="n">
        <v>66.52337738152099</v>
      </c>
      <c r="E297" t="n">
        <v>115.111976630964</v>
      </c>
      <c r="F297" t="n">
        <v>81.89882717897086</v>
      </c>
      <c r="G297" t="n">
        <v>56.39855186526052</v>
      </c>
      <c r="H297" t="n">
        <v/>
      </c>
    </row>
    <row r="298">
      <c r="A298" s="45" t="n">
        <v>46051</v>
      </c>
      <c r="B298" t="n">
        <v>75.0614367609699</v>
      </c>
      <c r="C298" t="n">
        <v>73.70225499514326</v>
      </c>
      <c r="D298" t="n">
        <v>62.52719842912487</v>
      </c>
      <c r="E298" t="n">
        <v>107.906523855891</v>
      </c>
      <c r="F298" t="n">
        <v>78.7948878427531</v>
      </c>
      <c r="G298" t="n">
        <v>52.68377144656068</v>
      </c>
      <c r="H298" t="n">
        <v/>
      </c>
    </row>
    <row r="299">
      <c r="A299" s="45" t="n">
        <v>46052</v>
      </c>
      <c r="B299" t="n">
        <v>74.71590652142108</v>
      </c>
      <c r="C299" t="n">
        <v>70.69394107140992</v>
      </c>
      <c r="D299" t="n">
        <v>62.405137186223</v>
      </c>
      <c r="E299" t="n">
        <v>107.7312560856865</v>
      </c>
      <c r="F299" t="n">
        <v>77.89871833247163</v>
      </c>
      <c r="G299" t="n">
        <v>50.49582874232645</v>
      </c>
      <c r="H299" t="n">
        <v/>
      </c>
    </row>
    <row r="300">
      <c r="A300" s="45" t="n">
        <v>46053</v>
      </c>
      <c r="B300" t="n">
        <v>69.82171501536251</v>
      </c>
      <c r="C300" t="n">
        <v>64.02426287039262</v>
      </c>
      <c r="D300" t="n">
        <v>56.03141750252083</v>
      </c>
      <c r="E300" t="n">
        <v>98.83154819863681</v>
      </c>
      <c r="F300" t="n">
        <v>70.87539797001278</v>
      </c>
      <c r="G300" t="n">
        <v>46.21438690382497</v>
      </c>
      <c r="H300" t="n">
        <v/>
      </c>
    </row>
    <row r="301">
      <c r="A301" s="45" t="n">
        <v>46054</v>
      </c>
      <c r="B301" t="n">
        <v>68.24965750236092</v>
      </c>
      <c r="C301" t="n">
        <v>59.27717953270736</v>
      </c>
      <c r="D301" t="n">
        <v>53.48935944382529</v>
      </c>
      <c r="E301" t="n">
        <v>100.5258033106135</v>
      </c>
      <c r="F301" t="n">
        <v>68.80368626810707</v>
      </c>
      <c r="G301" t="n">
        <v>44.98662049425469</v>
      </c>
      <c r="H301" t="n">
        <v/>
      </c>
    </row>
    <row r="302">
      <c r="A302" s="45" t="n">
        <v>46055</v>
      </c>
      <c r="B302" t="n">
        <v>69.81951593667009</v>
      </c>
      <c r="C302" t="n">
        <v>61.28437588126548</v>
      </c>
      <c r="D302" t="n">
        <v>55.48479541474287</v>
      </c>
      <c r="E302" t="n">
        <v>105.1022395326193</v>
      </c>
      <c r="F302" t="n">
        <v>70.20054967482109</v>
      </c>
      <c r="G302" t="n">
        <v>47.08011962852196</v>
      </c>
      <c r="H302" t="n">
        <v/>
      </c>
    </row>
    <row r="303">
      <c r="A303" s="45" t="n">
        <v>46056</v>
      </c>
      <c r="B303" t="n">
        <v>67.18736061787018</v>
      </c>
      <c r="C303" t="n">
        <v>58.3259350553043</v>
      </c>
      <c r="D303" t="n">
        <v>51.95032638114949</v>
      </c>
      <c r="E303" t="n">
        <v>102.6484907497566</v>
      </c>
      <c r="F303" t="n">
        <v>68.4626339038704</v>
      </c>
      <c r="G303" t="n">
        <v>45.91531559892965</v>
      </c>
      <c r="H303" t="n">
        <v/>
      </c>
    </row>
    <row r="304">
      <c r="A304" s="45" t="n">
        <v>46057</v>
      </c>
      <c r="B304" t="n">
        <v>64.87799103520743</v>
      </c>
      <c r="C304" t="n">
        <v>56.09444032461904</v>
      </c>
      <c r="D304" t="n">
        <v>48.88818128748076</v>
      </c>
      <c r="E304" t="n">
        <v>103.7000973709834</v>
      </c>
      <c r="F304" t="n">
        <v>63.24616542853774</v>
      </c>
      <c r="G304" t="n">
        <v>45.08106406422163</v>
      </c>
      <c r="H304" t="n">
        <v/>
      </c>
    </row>
    <row r="305">
      <c r="A305" s="45" t="n">
        <v>46058</v>
      </c>
      <c r="B305" t="n">
        <v>55.78376317341242</v>
      </c>
      <c r="C305" t="n">
        <v>47.70139853566318</v>
      </c>
      <c r="D305" t="n">
        <v>41.58042774505121</v>
      </c>
      <c r="E305" t="n">
        <v>88.3933787731256</v>
      </c>
      <c r="F305" t="n">
        <v>55.17610456520359</v>
      </c>
      <c r="G305" t="n">
        <v>38.64316071147489</v>
      </c>
      <c r="H305" t="n">
        <v/>
      </c>
    </row>
    <row r="306">
      <c r="A306" s="45" t="n">
        <v>46059</v>
      </c>
      <c r="B306" t="n">
        <v>62.58530075504657</v>
      </c>
      <c r="C306" t="n">
        <v>53.87809030425201</v>
      </c>
      <c r="D306" t="n">
        <v>46.41511436607758</v>
      </c>
      <c r="E306" t="n">
        <v>101.8889970788705</v>
      </c>
      <c r="F306" t="n">
        <v>59.6125064627609</v>
      </c>
      <c r="G306" t="n">
        <v>43.47552337478357</v>
      </c>
      <c r="H306" t="n">
        <v/>
      </c>
    </row>
    <row r="307">
      <c r="A307" s="45" t="n">
        <v>46060</v>
      </c>
      <c r="B307" t="n">
        <v>61.44064482662305</v>
      </c>
      <c r="C307" t="n">
        <v>54.49693450173903</v>
      </c>
      <c r="D307" t="n">
        <v>46.48410550336995</v>
      </c>
      <c r="E307" t="n">
        <v>102.2590068159688</v>
      </c>
      <c r="F307" t="n">
        <v>58.68640416519271</v>
      </c>
      <c r="G307" t="n">
        <v>42.83015898000945</v>
      </c>
      <c r="H307" t="n">
        <v/>
      </c>
    </row>
    <row r="308">
      <c r="A308" s="45" t="n">
        <v>46061</v>
      </c>
      <c r="B308" t="n">
        <v>62.36372584227819</v>
      </c>
      <c r="C308" t="n">
        <v>54.56639127664685</v>
      </c>
      <c r="D308" t="n">
        <v>46.16568486971288</v>
      </c>
      <c r="E308" t="n">
        <v>102.6290165530672</v>
      </c>
      <c r="F308" t="n">
        <v>58.04511687392854</v>
      </c>
      <c r="G308" t="n">
        <v>42.51534708011963</v>
      </c>
      <c r="H308" t="n">
        <v/>
      </c>
    </row>
    <row r="309">
      <c r="A309" s="45" t="n">
        <v>46062</v>
      </c>
      <c r="B309" t="n">
        <v>62.19313763306421</v>
      </c>
      <c r="C309" t="n">
        <v>54.96537605882415</v>
      </c>
      <c r="D309" t="n">
        <v>46.04893063737197</v>
      </c>
      <c r="E309" t="n">
        <v>103.7974683544304</v>
      </c>
      <c r="F309" t="n">
        <v>57.72401970121636</v>
      </c>
      <c r="G309" t="n">
        <v>42.48386589013064</v>
      </c>
      <c r="H309" t="n">
        <v/>
      </c>
    </row>
    <row r="310">
      <c r="A310" s="45" t="n">
        <v>46063</v>
      </c>
      <c r="B310" t="n">
        <v>61.04331209626289</v>
      </c>
      <c r="C310" t="n">
        <v>52.8150883093281</v>
      </c>
      <c r="D310" t="n">
        <v>44.04288064533247</v>
      </c>
      <c r="E310" t="n">
        <v>102.1032132424537</v>
      </c>
      <c r="F310" t="n">
        <v>56.2237521202391</v>
      </c>
      <c r="G310" t="n">
        <v>41.24035888556588</v>
      </c>
      <c r="H310" t="n">
        <v/>
      </c>
    </row>
    <row r="311">
      <c r="A311" s="45" t="n">
        <v>46064</v>
      </c>
      <c r="B311" t="n">
        <v>59.48376627695091</v>
      </c>
      <c r="C311" t="n">
        <v>50.68725650961429</v>
      </c>
      <c r="D311" t="n">
        <v>42.08459374834156</v>
      </c>
      <c r="E311" t="n">
        <v>100.5258033106135</v>
      </c>
      <c r="F311" t="n">
        <v>55.15887053615971</v>
      </c>
      <c r="G311" t="n">
        <v>40.28018259090194</v>
      </c>
      <c r="H311" t="n">
        <v/>
      </c>
    </row>
    <row r="312">
      <c r="A312" s="45" t="n">
        <v>46065</v>
      </c>
      <c r="B312" t="n">
        <v>58.765208446945</v>
      </c>
      <c r="C312" t="n">
        <v>50.86142067827413</v>
      </c>
      <c r="D312" t="n">
        <v>41.60696279785597</v>
      </c>
      <c r="E312" t="n">
        <v>97.95520934761441</v>
      </c>
      <c r="F312" t="n">
        <v>55.71943000716573</v>
      </c>
      <c r="G312" t="n">
        <v>41.60239257043916</v>
      </c>
      <c r="H312" t="n">
        <v/>
      </c>
    </row>
    <row r="313">
      <c r="A313" s="45" t="n">
        <v>46066</v>
      </c>
      <c r="B313" t="n">
        <v>61.05454690555047</v>
      </c>
      <c r="C313" t="n">
        <v>53.49529469517353</v>
      </c>
      <c r="D313" t="n">
        <v>44.75402006049992</v>
      </c>
      <c r="E313" t="n">
        <v>109.8149951314508</v>
      </c>
      <c r="F313" t="n">
        <v>56.14121019166055</v>
      </c>
      <c r="G313" t="n">
        <v>42.94034314497087</v>
      </c>
      <c r="H313" t="n">
        <v/>
      </c>
    </row>
    <row r="314">
      <c r="A314" s="45" t="n">
        <v>46067</v>
      </c>
      <c r="B314" t="n">
        <v>61.91377483384984</v>
      </c>
      <c r="C314" t="n">
        <v>54.48413983267707</v>
      </c>
      <c r="D314" t="n">
        <v>46.73353499973465</v>
      </c>
      <c r="E314" t="n">
        <v>109.6202531645569</v>
      </c>
      <c r="F314" t="n">
        <v>57.39566609522254</v>
      </c>
      <c r="G314" t="n">
        <v>46.43475523374784</v>
      </c>
      <c r="H314" t="n">
        <v/>
      </c>
    </row>
    <row r="315">
      <c r="A315" s="45" t="n">
        <v>46068</v>
      </c>
      <c r="B315" t="n">
        <v>61.03558871908101</v>
      </c>
      <c r="C315" t="n">
        <v>51.35049037527548</v>
      </c>
      <c r="D315" t="n">
        <v>45.72520299315395</v>
      </c>
      <c r="E315" t="n">
        <v>107.7896786757546</v>
      </c>
      <c r="F315" t="n">
        <v>55.79834371910346</v>
      </c>
      <c r="G315" t="n">
        <v>44.35699669447505</v>
      </c>
      <c r="H315" t="n">
        <v/>
      </c>
    </row>
    <row r="316">
      <c r="A316" s="45" t="n">
        <v>46069</v>
      </c>
      <c r="B316" t="n">
        <v>61.08865922704156</v>
      </c>
      <c r="C316" t="n">
        <v>52.17953270735197</v>
      </c>
      <c r="D316" t="n">
        <v>45.87910629942154</v>
      </c>
      <c r="E316" t="n">
        <v>110.8471275559883</v>
      </c>
      <c r="F316" t="n">
        <v>56.88952987382877</v>
      </c>
      <c r="G316" t="n">
        <v>44.98662049425469</v>
      </c>
      <c r="H316" t="n">
        <v/>
      </c>
    </row>
    <row r="317">
      <c r="A317" s="45" t="n">
        <v>46070</v>
      </c>
      <c r="B317" t="n">
        <v>59.85707761949732</v>
      </c>
      <c r="C317" t="n">
        <v>52.00536853869213</v>
      </c>
      <c r="D317" t="n">
        <v>45.15204585257124</v>
      </c>
      <c r="E317" t="n">
        <v>109.7176241480039</v>
      </c>
      <c r="F317" t="n">
        <v>56.03236369243607</v>
      </c>
      <c r="G317" t="n">
        <v>44.24681252951362</v>
      </c>
      <c r="H317" t="n">
        <v/>
      </c>
    </row>
    <row r="318">
      <c r="A318" s="45" t="n">
        <v>46071</v>
      </c>
      <c r="B318" t="n">
        <v>58.93264878141778</v>
      </c>
      <c r="C318" t="n">
        <v>51.07187992855875</v>
      </c>
      <c r="D318" t="n">
        <v>43.31051318792124</v>
      </c>
      <c r="E318" t="n">
        <v>108.666017526777</v>
      </c>
      <c r="F318" t="n">
        <v>54.85863560913221</v>
      </c>
      <c r="G318" t="n">
        <v>43.05052730993232</v>
      </c>
      <c r="H318" t="n">
        <v/>
      </c>
    </row>
    <row r="319">
      <c r="A319" s="45" t="n">
        <v>46072</v>
      </c>
      <c r="B319" t="n">
        <v>59.41390119220213</v>
      </c>
      <c r="C319" t="n">
        <v>50.89353790877662</v>
      </c>
      <c r="D319" t="n">
        <v>43.78283712784588</v>
      </c>
      <c r="E319" t="n">
        <v>109.1333982473223</v>
      </c>
      <c r="F319" t="n">
        <v>55.13347301967401</v>
      </c>
      <c r="G319" t="n">
        <v>42.95608373996536</v>
      </c>
      <c r="H319" t="n">
        <v/>
      </c>
    </row>
    <row r="320">
      <c r="A320" s="45" t="n">
        <v>46073</v>
      </c>
      <c r="B320" t="n">
        <v>60.31506235895525</v>
      </c>
      <c r="C320" t="n">
        <v>51.41054698515819</v>
      </c>
      <c r="D320" t="n">
        <v>44.93445841957225</v>
      </c>
      <c r="E320" t="n">
        <v>109.52288218111</v>
      </c>
      <c r="F320" t="n">
        <v>56.77342694132265</v>
      </c>
      <c r="G320" t="n">
        <v>44.84495513930427</v>
      </c>
      <c r="H320" t="n">
        <v/>
      </c>
    </row>
    <row r="321">
      <c r="A321" s="45" t="n">
        <v>46074</v>
      </c>
      <c r="B321" t="n">
        <v>60.27597550864778</v>
      </c>
      <c r="C321" t="n">
        <v>51.52726570088675</v>
      </c>
      <c r="D321" t="n">
        <v>45.19980894761981</v>
      </c>
      <c r="E321" t="n">
        <v>109.8539435248296</v>
      </c>
      <c r="F321" t="n">
        <v>56.74621531651655</v>
      </c>
      <c r="G321" t="n">
        <v>44.07366598457422</v>
      </c>
      <c r="H321" t="n">
        <v/>
      </c>
    </row>
    <row r="322">
      <c r="A322" s="45" t="n">
        <v>46075</v>
      </c>
      <c r="B322" t="n">
        <v>59.98111275155287</v>
      </c>
      <c r="C322" t="n">
        <v>51.12175302633091</v>
      </c>
      <c r="D322" t="n">
        <v>43.93674043411346</v>
      </c>
      <c r="E322" t="n">
        <v>111.1392405063291</v>
      </c>
      <c r="F322" t="n">
        <v>55.76568976933613</v>
      </c>
      <c r="G322" t="n">
        <v>42.76719660003148</v>
      </c>
      <c r="H322" t="n">
        <v/>
      </c>
    </row>
    <row r="323">
      <c r="A323" s="45" t="n">
        <v>46076</v>
      </c>
      <c r="B323" t="n">
        <v>57.33212738695362</v>
      </c>
      <c r="C323" t="n">
        <v>48.47090648924726</v>
      </c>
      <c r="D323" t="n">
        <v>41.34161226980842</v>
      </c>
      <c r="E323" t="n">
        <v>96.55306718597858</v>
      </c>
      <c r="F323" t="n">
        <v>54.09761716872114</v>
      </c>
      <c r="G323" t="n">
        <v>41.28758067054935</v>
      </c>
      <c r="H323" t="n">
        <v/>
      </c>
    </row>
    <row r="324">
      <c r="A324" s="45" t="n">
        <v>46077</v>
      </c>
      <c r="B324" t="n">
        <v>56.80198094427376</v>
      </c>
      <c r="C324" t="n">
        <v>48.35706004616526</v>
      </c>
      <c r="D324" t="n">
        <v>41.92007642095207</v>
      </c>
      <c r="E324" t="n">
        <v>94.41090555014607</v>
      </c>
      <c r="F324" t="n">
        <v>52.93568078949994</v>
      </c>
      <c r="G324" t="n">
        <v>40.72091925074768</v>
      </c>
      <c r="H324" t="n">
        <v/>
      </c>
    </row>
    <row r="325">
      <c r="A325" s="45" t="n">
        <v>46078</v>
      </c>
      <c r="B325" t="n">
        <v>60.28671375177899</v>
      </c>
      <c r="C325" t="n">
        <v>53.72403204411811</v>
      </c>
      <c r="D325" t="n">
        <v>46.73353499973465</v>
      </c>
      <c r="E325" t="n">
        <v>95.98831548198636</v>
      </c>
      <c r="F325" t="n">
        <v>57.09180295155423</v>
      </c>
      <c r="G325" t="n">
        <v>46.76530772863214</v>
      </c>
      <c r="H325" t="n">
        <v/>
      </c>
    </row>
    <row r="326">
      <c r="A326" s="45" t="n">
        <v>46079</v>
      </c>
      <c r="B326" t="n">
        <v>59.84081507787664</v>
      </c>
      <c r="C326" t="n">
        <v>52.94590727259435</v>
      </c>
      <c r="D326" t="n">
        <v>45.59252772913018</v>
      </c>
      <c r="E326" t="n">
        <v>93.16455696202532</v>
      </c>
      <c r="F326" t="n">
        <v>56.7580070205992</v>
      </c>
      <c r="G326" t="n">
        <v>45.17550763418857</v>
      </c>
      <c r="H326" t="n">
        <v/>
      </c>
    </row>
    <row r="327">
      <c r="A327" s="45" t="n">
        <v>46080</v>
      </c>
      <c r="B327" t="n">
        <v>58.41045626449242</v>
      </c>
      <c r="C327" t="n">
        <v>50.39115131132302</v>
      </c>
      <c r="D327" t="n">
        <v>43.43788144138406</v>
      </c>
      <c r="E327" t="n">
        <v>89.87341772151899</v>
      </c>
      <c r="F327" t="n">
        <v>55.69584659900042</v>
      </c>
      <c r="G327" t="n">
        <v>43.69589170470644</v>
      </c>
      <c r="H327" t="n">
        <v/>
      </c>
    </row>
    <row r="328">
      <c r="A328" s="45" t="n">
        <v>46081</v>
      </c>
      <c r="B328" t="n">
        <v>59.38688267294467</v>
      </c>
      <c r="C328" t="n">
        <v>51.29643942638105</v>
      </c>
      <c r="D328" t="n">
        <v>44.76463408162182</v>
      </c>
      <c r="E328" t="n">
        <v>89.11392405063292</v>
      </c>
      <c r="F328" t="n">
        <v>55.97794044282384</v>
      </c>
      <c r="G328" t="n">
        <v>44.23107193451913</v>
      </c>
      <c r="H328" t="n">
        <v/>
      </c>
    </row>
    <row r="329">
      <c r="A329" s="45" t="n">
        <v>46082</v>
      </c>
      <c r="B329" t="n">
        <v>58.32565872604179</v>
      </c>
      <c r="C329" t="n">
        <v>50.64887250242838</v>
      </c>
      <c r="D329" t="n">
        <v>44.36660828955049</v>
      </c>
      <c r="E329" t="n">
        <v>86.01752677702045</v>
      </c>
      <c r="F329" t="n">
        <v>56.05231888396056</v>
      </c>
      <c r="G329" t="n">
        <v>43.05052730993232</v>
      </c>
      <c r="H329" t="n">
        <v/>
      </c>
    </row>
    <row r="330">
      <c r="A330" s="45" t="n">
        <v>46083</v>
      </c>
      <c r="B330" t="n">
        <v>61.0333541713774</v>
      </c>
      <c r="C330" t="n">
        <v>52.93729045465465</v>
      </c>
      <c r="D330" t="n">
        <v>45.9799395000796</v>
      </c>
      <c r="E330" t="n">
        <v>86.71859785783836</v>
      </c>
      <c r="F330" t="n">
        <v>57.8510072836449</v>
      </c>
      <c r="G330" t="n">
        <v>43.61718872973398</v>
      </c>
      <c r="H330" t="n">
        <v/>
      </c>
    </row>
    <row r="331">
      <c r="A331" s="45" t="n">
        <v>46084</v>
      </c>
      <c r="B331" t="n">
        <v>60.59703213049049</v>
      </c>
      <c r="C331" t="n">
        <v>51.77402003279613</v>
      </c>
      <c r="D331" t="n">
        <v>46.15507084859098</v>
      </c>
      <c r="E331" t="n">
        <v>86.44595910418694</v>
      </c>
      <c r="F331" t="n">
        <v>57.46732337387864</v>
      </c>
      <c r="G331" t="n">
        <v>41.31906186053833</v>
      </c>
      <c r="H331" t="n">
        <v/>
      </c>
    </row>
    <row r="332">
      <c r="A332" s="45" t="n">
        <v>46085</v>
      </c>
      <c r="B332" t="n">
        <v>64.43546191736608</v>
      </c>
      <c r="C332" t="n">
        <v>55.5466195962107</v>
      </c>
      <c r="D332" t="n">
        <v>48.21419094623997</v>
      </c>
      <c r="E332" t="n">
        <v>90.92502434274586</v>
      </c>
      <c r="F332" t="n">
        <v>59.68325668725679</v>
      </c>
      <c r="G332" t="n">
        <v>43.49126396977806</v>
      </c>
      <c r="H332" t="n">
        <v/>
      </c>
    </row>
    <row r="333">
      <c r="A333" s="45" t="n">
        <v>46086</v>
      </c>
      <c r="B333" t="n">
        <v>62.86059348522938</v>
      </c>
      <c r="C333" t="n">
        <v>54.12562798324683</v>
      </c>
      <c r="D333" t="n">
        <v>47.11033274956217</v>
      </c>
      <c r="E333" t="n">
        <v>89.89289191820838</v>
      </c>
      <c r="F333" t="n">
        <v>58.76350376881003</v>
      </c>
      <c r="G333" t="n">
        <v>42.37368172516921</v>
      </c>
      <c r="H333" t="n">
        <v/>
      </c>
    </row>
    <row r="334">
      <c r="A334" s="45" t="n">
        <v>46087</v>
      </c>
      <c r="B334" t="n">
        <v>60.39842340245357</v>
      </c>
      <c r="C334" t="n">
        <v>51.66644036639754</v>
      </c>
      <c r="D334" t="n">
        <v>44.95037945125511</v>
      </c>
      <c r="E334" t="n">
        <v>87.57546251217137</v>
      </c>
      <c r="F334" t="n">
        <v>56.90041452375121</v>
      </c>
      <c r="G334" t="n">
        <v>40.76814103573115</v>
      </c>
      <c r="H334" t="n">
        <v/>
      </c>
    </row>
    <row r="335">
      <c r="A335" s="45" t="n">
        <v>46088</v>
      </c>
      <c r="B335" t="n">
        <v>59.64372265006718</v>
      </c>
      <c r="C335" t="n">
        <v>51.42908619951329</v>
      </c>
      <c r="D335" t="n">
        <v>44.16494188823435</v>
      </c>
      <c r="E335" t="n">
        <v>87.67283349561831</v>
      </c>
      <c r="F335" t="n">
        <v>56.26094134080746</v>
      </c>
      <c r="G335" t="n">
        <v>40.04407366598458</v>
      </c>
      <c r="H335" t="n">
        <v/>
      </c>
    </row>
    <row r="336">
      <c r="A336" s="45" t="n">
        <v>46089</v>
      </c>
      <c r="B336" t="n">
        <v>58.49833073966189</v>
      </c>
      <c r="C336" t="n">
        <v>50.58072130599626</v>
      </c>
      <c r="D336" t="n">
        <v>43.29989916679934</v>
      </c>
      <c r="E336" t="n">
        <v>86.29016553067187</v>
      </c>
      <c r="F336" t="n">
        <v>55.50990049615863</v>
      </c>
      <c r="G336" t="n">
        <v>39.24130332126555</v>
      </c>
      <c r="H336" t="n">
        <v/>
      </c>
    </row>
    <row r="337">
      <c r="A337" s="45" t="n">
        <v>46090</v>
      </c>
      <c r="B337" t="n">
        <v>60.68052618278068</v>
      </c>
      <c r="C337" t="n">
        <v>52.0398358104509</v>
      </c>
      <c r="D337" t="n">
        <v>45.08836172583983</v>
      </c>
      <c r="E337" t="n">
        <v>86.58227848101266</v>
      </c>
      <c r="F337" t="n">
        <v>57.56528522318067</v>
      </c>
      <c r="G337" t="n">
        <v>40.1699984259405</v>
      </c>
      <c r="H337" t="n">
        <v/>
      </c>
    </row>
    <row r="338">
      <c r="A338" s="45" t="n">
        <v>46091</v>
      </c>
      <c r="B338" t="n">
        <v>62.02521846694067</v>
      </c>
      <c r="C338" t="n">
        <v>53.17647243140491</v>
      </c>
      <c r="D338" t="n">
        <v>45.57660669744732</v>
      </c>
      <c r="E338" t="n">
        <v>87.06913339824732</v>
      </c>
      <c r="F338" t="n">
        <v>58.23287708509075</v>
      </c>
      <c r="G338" t="n">
        <v>41.25609948056037</v>
      </c>
      <c r="H338" t="n">
        <v/>
      </c>
    </row>
    <row r="339">
      <c r="A339" s="45" t="n">
        <v>46092</v>
      </c>
      <c r="B339" t="n">
        <v>62.24089665660234</v>
      </c>
      <c r="C339" t="n">
        <v>53.58015729609475</v>
      </c>
      <c r="D339" t="n">
        <v>45.94809743671389</v>
      </c>
      <c r="E339" t="n">
        <v>88.62706913339825</v>
      </c>
      <c r="F339" t="n">
        <v>59.09095032064364</v>
      </c>
      <c r="G339" t="n">
        <v>41.33480245553282</v>
      </c>
      <c r="H339" t="n">
        <v/>
      </c>
    </row>
    <row r="340">
      <c r="A340" s="45" t="n">
        <v>46093</v>
      </c>
      <c r="B340" t="n">
        <v>62.55078940717981</v>
      </c>
      <c r="C340" t="n">
        <v>54.1428616191262</v>
      </c>
      <c r="D340" t="n">
        <v>46.08607971129863</v>
      </c>
      <c r="E340" t="n">
        <v>88.64654333008764</v>
      </c>
      <c r="F340" t="n">
        <v>59.11453372880895</v>
      </c>
      <c r="G340" t="n">
        <v>41.49220840547773</v>
      </c>
      <c r="H340" t="n">
        <v/>
      </c>
    </row>
    <row r="341">
      <c r="A341" s="45" t="n">
        <v>46094</v>
      </c>
      <c r="B341" t="n">
        <v>62.89542405419665</v>
      </c>
      <c r="C341" t="n">
        <v>54.63114796904212</v>
      </c>
      <c r="D341" t="n">
        <v>46.79721912646606</v>
      </c>
      <c r="E341" t="n">
        <v>89.77604673807205</v>
      </c>
      <c r="F341" t="n">
        <v>59.47826244705071</v>
      </c>
      <c r="G341" t="n">
        <v>41.80702030536754</v>
      </c>
      <c r="H341" t="n">
        <v/>
      </c>
    </row>
    <row r="342">
      <c r="A342" s="45" t="n">
        <v>46095</v>
      </c>
      <c r="B342" t="n">
        <v>63.14543624666924</v>
      </c>
      <c r="C342" t="n">
        <v>54.73402755292815</v>
      </c>
      <c r="D342" t="n">
        <v>46.71761396805179</v>
      </c>
      <c r="E342" t="n">
        <v>91.06134371957157</v>
      </c>
      <c r="F342" t="n">
        <v>59.65695211661088</v>
      </c>
      <c r="G342" t="n">
        <v>41.46072721548875</v>
      </c>
      <c r="H342" t="n">
        <v/>
      </c>
    </row>
    <row r="343">
      <c r="A343" s="45" t="n">
        <v>46096</v>
      </c>
      <c r="B343" t="n">
        <v>64.56711401957003</v>
      </c>
      <c r="C343" t="n">
        <v>56.87883187282622</v>
      </c>
      <c r="D343" t="n">
        <v>48.98370747757787</v>
      </c>
      <c r="E343" t="n">
        <v>91.47030185004868</v>
      </c>
      <c r="F343" t="n">
        <v>61.11458815205856</v>
      </c>
      <c r="G343" t="n">
        <v>42.53108767511412</v>
      </c>
      <c r="H343" t="n">
        <v/>
      </c>
    </row>
    <row r="344">
      <c r="A344" s="45" t="n">
        <v>46097</v>
      </c>
      <c r="B344" t="n">
        <v>66.40212991412065</v>
      </c>
      <c r="C344" t="n">
        <v>61.43973971987508</v>
      </c>
      <c r="D344" t="n">
        <v>51.05344159634878</v>
      </c>
      <c r="E344" t="n">
        <v>93.24245374878286</v>
      </c>
      <c r="F344" t="n">
        <v>61.65337832321968</v>
      </c>
      <c r="G344" t="n">
        <v>45.71068786400126</v>
      </c>
      <c r="H344" t="n">
        <v/>
      </c>
    </row>
    <row r="345">
      <c r="A345" s="45" t="n">
        <v>46098</v>
      </c>
      <c r="B345" t="n">
        <v>65.53729788205666</v>
      </c>
      <c r="C345" t="n">
        <v>60.51069007655913</v>
      </c>
      <c r="D345" t="n">
        <v>50.21493392771852</v>
      </c>
      <c r="E345" t="n">
        <v>91.66504381694254</v>
      </c>
      <c r="F345" t="n">
        <v>60.64654820539334</v>
      </c>
      <c r="G345" t="n">
        <v>45.50606012907289</v>
      </c>
      <c r="H345" t="n">
        <v/>
      </c>
    </row>
    <row r="346">
      <c r="A346" s="45" t="n">
        <v>46099</v>
      </c>
      <c r="B346" t="n">
        <v>63.17610807407702</v>
      </c>
      <c r="C346" t="n">
        <v>57.533971151938</v>
      </c>
      <c r="D346" t="n">
        <v>47.80555113304676</v>
      </c>
      <c r="E346" t="n">
        <v>88.97760467380719</v>
      </c>
      <c r="F346" t="n">
        <v>59.16442170762016</v>
      </c>
      <c r="G346" t="n">
        <v>43.16071147489375</v>
      </c>
      <c r="H346" t="n">
        <v/>
      </c>
    </row>
    <row r="347">
      <c r="A347" s="45" t="n">
        <v>46100</v>
      </c>
      <c r="B347" t="n">
        <v>62.00869877498902</v>
      </c>
      <c r="C347" t="n">
        <v>55.82157442319543</v>
      </c>
      <c r="D347" t="n">
        <v>47.17401687629359</v>
      </c>
      <c r="E347" t="n">
        <v>88.72444011684519</v>
      </c>
      <c r="F347" t="n">
        <v>57.97436664943263</v>
      </c>
      <c r="G347" t="n">
        <v>42.10609161026287</v>
      </c>
      <c r="H347" t="n">
        <v/>
      </c>
    </row>
    <row r="348">
      <c r="A348" s="45" t="n">
        <v>46101</v>
      </c>
      <c r="B348" t="n">
        <v>62.52364674638326</v>
      </c>
      <c r="C348" t="n">
        <v>56.04117272281002</v>
      </c>
      <c r="D348" t="n">
        <v>47.67818287958393</v>
      </c>
      <c r="E348" t="n">
        <v>92.42453748782863</v>
      </c>
      <c r="F348" t="n">
        <v>58.24285468085299</v>
      </c>
      <c r="G348" t="n">
        <v>41.88572328034</v>
      </c>
      <c r="H348" t="n">
        <v/>
      </c>
    </row>
    <row r="349">
      <c r="A349" s="45" t="n">
        <v>46102</v>
      </c>
      <c r="B349" t="n">
        <v>61.11143919946441</v>
      </c>
      <c r="C349" t="n">
        <v>54.4392279331126</v>
      </c>
      <c r="D349" t="n">
        <v>46.4681844716871</v>
      </c>
      <c r="E349" t="n">
        <v>90.08763388510225</v>
      </c>
      <c r="F349" t="n">
        <v>57.20790588406034</v>
      </c>
      <c r="G349" t="n">
        <v>40.5162915158193</v>
      </c>
      <c r="H349" t="n">
        <v/>
      </c>
    </row>
    <row r="350">
      <c r="A350" s="45" t="n">
        <v>46103</v>
      </c>
      <c r="B350" t="n">
        <v>60.17229072175004</v>
      </c>
      <c r="C350" t="n">
        <v>53.63029150956206</v>
      </c>
      <c r="D350" t="n">
        <v>45.74643103539776</v>
      </c>
      <c r="E350" t="n">
        <v>91.02239532619279</v>
      </c>
      <c r="F350" t="n">
        <v>56.81877964933286</v>
      </c>
      <c r="G350" t="n">
        <v>39.44593105619392</v>
      </c>
      <c r="H350" t="n">
        <v/>
      </c>
    </row>
    <row r="351">
      <c r="A351" s="45" t="n">
        <v>46104</v>
      </c>
      <c r="B351" t="n">
        <v>62.87454167387131</v>
      </c>
      <c r="C351" t="n">
        <v>56.19288094168765</v>
      </c>
      <c r="D351" t="n">
        <v>48.52199755877514</v>
      </c>
      <c r="E351" t="n">
        <v>93.08666017526777</v>
      </c>
      <c r="F351" t="n">
        <v>57.97073843279183</v>
      </c>
      <c r="G351" t="n">
        <v>41.17739650558791</v>
      </c>
      <c r="H351" t="n">
        <v/>
      </c>
    </row>
    <row r="352">
      <c r="A352" s="45" t="n">
        <v>46105</v>
      </c>
      <c r="B352" t="n">
        <v>62.56444497647961</v>
      </c>
      <c r="C352" t="n">
        <v>56.30254953364737</v>
      </c>
      <c r="D352" t="n">
        <v>48.18765589343523</v>
      </c>
      <c r="E352" t="n">
        <v>92.96981499513144</v>
      </c>
      <c r="F352" t="n">
        <v>57.8972670458153</v>
      </c>
      <c r="G352" t="n">
        <v>41.93294506532347</v>
      </c>
      <c r="H352" t="n">
        <v/>
      </c>
    </row>
    <row r="353">
      <c r="A353" s="45" t="n">
        <v>46106</v>
      </c>
      <c r="B353" t="n">
        <v>63.25590448195292</v>
      </c>
      <c r="C353" t="n">
        <v>56.63651650773425</v>
      </c>
      <c r="D353" t="n">
        <v>48.66528684392082</v>
      </c>
      <c r="E353" t="n">
        <v>92.22979552093477</v>
      </c>
      <c r="F353" t="n">
        <v>58.74626973976616</v>
      </c>
      <c r="G353" t="n">
        <v>42.5783094600976</v>
      </c>
      <c r="H353" t="n">
        <v/>
      </c>
    </row>
    <row r="354">
      <c r="A354" s="45" t="n">
        <v>46107</v>
      </c>
      <c r="B354" t="n">
        <v>61.02470859990512</v>
      </c>
      <c r="C354" t="n">
        <v>53.80106117418506</v>
      </c>
      <c r="D354" t="n">
        <v>45.92156238390914</v>
      </c>
      <c r="E354" t="n">
        <v>89.95131450827652</v>
      </c>
      <c r="F354" t="n">
        <v>57.04100791858282</v>
      </c>
      <c r="G354" t="n">
        <v>40.09129545096805</v>
      </c>
      <c r="H354" t="n">
        <v/>
      </c>
    </row>
    <row r="355">
      <c r="A355" s="45" t="n">
        <v>46108</v>
      </c>
      <c r="B355" t="n">
        <v>58.88501389941874</v>
      </c>
      <c r="C355" t="n">
        <v>52.03383014946262</v>
      </c>
      <c r="D355" t="n">
        <v>44.10656477206389</v>
      </c>
      <c r="E355" t="n">
        <v>92.09347614410905</v>
      </c>
      <c r="F355" t="n">
        <v>55.6885901657188</v>
      </c>
      <c r="G355" t="n">
        <v>38.73760428144184</v>
      </c>
      <c r="H355" t="n">
        <v/>
      </c>
    </row>
    <row r="356">
      <c r="A356" s="45" t="n">
        <v>46109</v>
      </c>
      <c r="B356" t="n">
        <v>58.85819045972271</v>
      </c>
      <c r="C356" t="n">
        <v>52.08579217279593</v>
      </c>
      <c r="D356" t="n">
        <v>43.56524969484689</v>
      </c>
      <c r="E356" t="n">
        <v>93.70983446932813</v>
      </c>
      <c r="F356" t="n">
        <v>55.42826562174028</v>
      </c>
      <c r="G356" t="n">
        <v>38.72186368644735</v>
      </c>
      <c r="H356" t="n">
        <v/>
      </c>
    </row>
    <row r="357">
      <c r="A357" s="45" t="n">
        <v>46110</v>
      </c>
      <c r="B357" t="n">
        <v>58.53356033500481</v>
      </c>
      <c r="C357" t="n">
        <v>51.82206532070231</v>
      </c>
      <c r="D357" t="n">
        <v>43.22029400838507</v>
      </c>
      <c r="E357" t="n">
        <v>88.15968841285297</v>
      </c>
      <c r="F357" t="n">
        <v>54.97564559579853</v>
      </c>
      <c r="G357" t="n">
        <v>37.74594679678892</v>
      </c>
      <c r="H357" t="n">
        <v/>
      </c>
    </row>
    <row r="358">
      <c r="A358" s="45" t="n">
        <v>46111</v>
      </c>
      <c r="B358" t="n">
        <v>59.23091656358485</v>
      </c>
      <c r="C358" t="n">
        <v>52.91457338917728</v>
      </c>
      <c r="D358" t="n">
        <v>43.80406517008969</v>
      </c>
      <c r="E358" t="n">
        <v>89.63972736124634</v>
      </c>
      <c r="F358" t="n">
        <v>55.26590292706377</v>
      </c>
      <c r="G358" t="n">
        <v>38.31260821659059</v>
      </c>
      <c r="H358" t="n">
        <v/>
      </c>
    </row>
    <row r="359">
      <c r="A359" s="45" t="n">
        <v>46112</v>
      </c>
      <c r="B359" t="n">
        <v>60.5495745935473</v>
      </c>
      <c r="C359" t="n">
        <v>54.97608180232497</v>
      </c>
      <c r="D359" t="n">
        <v>44.15432786711245</v>
      </c>
      <c r="E359" t="n">
        <v>90.84712755598832</v>
      </c>
      <c r="F359" t="n">
        <v>56.00424501346974</v>
      </c>
      <c r="G359" t="n">
        <v>38.06075869667873</v>
      </c>
      <c r="H359" t="n">
        <v/>
      </c>
    </row>
    <row r="360">
      <c r="A360" s="45" t="n">
        <v>46113</v>
      </c>
      <c r="B360" t="n">
        <v>60.39833472992565</v>
      </c>
      <c r="C360" t="n">
        <v>55.88789780976155</v>
      </c>
      <c r="D360" t="n">
        <v>43.08231173380035</v>
      </c>
      <c r="E360" t="n">
        <v>88.62706913339825</v>
      </c>
      <c r="F360" t="n">
        <v>55.40377515941476</v>
      </c>
      <c r="G360" t="n">
        <v>39.09963796631513</v>
      </c>
      <c r="H360" t="n">
        <v/>
      </c>
    </row>
    <row r="361">
      <c r="A361" s="45" t="n">
        <v>46114</v>
      </c>
      <c r="B361" t="n">
        <v>59.32368576229556</v>
      </c>
      <c r="C361" t="n">
        <v>53.71593745756871</v>
      </c>
      <c r="D361" t="n">
        <v>41.89354136814732</v>
      </c>
      <c r="E361" t="n">
        <v>86.5238558909445</v>
      </c>
      <c r="F361" t="n">
        <v>52.92842435621831</v>
      </c>
      <c r="G361" t="n">
        <v>37.68298441681095</v>
      </c>
      <c r="H361" t="n">
        <v/>
      </c>
    </row>
    <row r="362">
      <c r="A362" s="45" t="n">
        <v>46115</v>
      </c>
      <c r="B362" t="n">
        <v>59.37893761444298</v>
      </c>
      <c r="C362" t="n">
        <v>53.6287248153912</v>
      </c>
      <c r="D362" t="n">
        <v>42.66836491004617</v>
      </c>
      <c r="E362" t="n">
        <v>86.27069133398247</v>
      </c>
      <c r="F362" t="n">
        <v>53.36290329895598</v>
      </c>
      <c r="G362" t="n">
        <v>38.76908547143082</v>
      </c>
      <c r="H362" t="n">
        <v/>
      </c>
    </row>
    <row r="363">
      <c r="A363" s="45" t="n">
        <v>46116</v>
      </c>
      <c r="B363" t="n">
        <v>59.67698371529024</v>
      </c>
      <c r="C363" t="n">
        <v>53.93396906301244</v>
      </c>
      <c r="D363" t="n">
        <v>42.89656636416706</v>
      </c>
      <c r="E363" t="n">
        <v>85.92015579357351</v>
      </c>
      <c r="F363" t="n">
        <v>53.82096564985896</v>
      </c>
      <c r="G363" t="n">
        <v>39.02093499134268</v>
      </c>
      <c r="H363" t="n">
        <v/>
      </c>
    </row>
    <row r="364">
      <c r="A364" s="45" t="n">
        <v>46117</v>
      </c>
      <c r="B364" t="n">
        <v>61.21435253536924</v>
      </c>
      <c r="C364" t="n">
        <v>55.09985064182238</v>
      </c>
      <c r="D364" t="n">
        <v>43.45910948362787</v>
      </c>
      <c r="E364" t="n">
        <v>83.46640701071081</v>
      </c>
      <c r="F364" t="n">
        <v>54.55930773626493</v>
      </c>
      <c r="G364" t="n">
        <v>39.47741224618292</v>
      </c>
      <c r="H364" t="n">
        <v/>
      </c>
    </row>
    <row r="365">
      <c r="A365" s="45" t="n">
        <v>46118</v>
      </c>
      <c r="B365" t="n">
        <v>61.0542808879667</v>
      </c>
      <c r="C365" t="n">
        <v>55.02125481758458</v>
      </c>
      <c r="D365" t="n">
        <v>42.47200551929098</v>
      </c>
      <c r="E365" t="n">
        <v>84.73222979552094</v>
      </c>
      <c r="F365" t="n">
        <v>54.43322720799659</v>
      </c>
      <c r="G365" t="n">
        <v>38.73760428144184</v>
      </c>
      <c r="H365" t="n">
        <v/>
      </c>
    </row>
    <row r="366">
      <c r="A366" s="45" t="n">
        <v>46119</v>
      </c>
      <c r="B366" t="n">
        <v>60.69925382067755</v>
      </c>
      <c r="C366" t="n">
        <v>54.4008439259267</v>
      </c>
      <c r="D366" t="n">
        <v>41.99437456880538</v>
      </c>
      <c r="E366" t="n">
        <v>84.45959104186952</v>
      </c>
      <c r="F366" t="n">
        <v>54.23276823859153</v>
      </c>
      <c r="G366" t="n">
        <v>38.21816464662364</v>
      </c>
      <c r="H366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69" t="inlineStr">
        <is>
          <t>Asset</t>
        </is>
      </c>
      <c r="B1" s="69" t="inlineStr">
        <is>
          <t>Free</t>
        </is>
      </c>
      <c r="C1" s="69" t="inlineStr">
        <is>
          <t>Locked</t>
        </is>
      </c>
      <c r="D1" s="69" t="inlineStr">
        <is>
          <t>Total</t>
        </is>
      </c>
      <c r="E1" s="69" t="inlineStr">
        <is>
          <t>Price (USDT)</t>
        </is>
      </c>
      <c r="F1" s="69" t="inlineStr">
        <is>
          <t>Total USD</t>
        </is>
      </c>
    </row>
    <row r="2">
      <c r="A2" t="inlineStr">
        <is>
          <t>ETH</t>
        </is>
      </c>
      <c r="B2" t="n">
        <v>0.04912344</v>
      </c>
      <c r="C2" t="n">
        <v>0</v>
      </c>
      <c r="D2" t="n">
        <v>0.04912344</v>
      </c>
      <c r="E2" t="n">
        <v>2083.16</v>
      </c>
      <c r="F2" t="n">
        <v>102.33</v>
      </c>
    </row>
    <row r="3">
      <c r="A3" t="inlineStr">
        <is>
          <t>BNB</t>
        </is>
      </c>
      <c r="B3" t="n">
        <v>0.12354626</v>
      </c>
      <c r="C3" t="n">
        <v>0</v>
      </c>
      <c r="D3" t="n">
        <v>0.12354626</v>
      </c>
      <c r="E3" t="n">
        <v>597.89</v>
      </c>
      <c r="F3" t="n">
        <v>73.87</v>
      </c>
    </row>
    <row r="4">
      <c r="A4" t="inlineStr">
        <is>
          <t>USDT</t>
        </is>
      </c>
      <c r="B4" t="n">
        <v>0.00565</v>
      </c>
      <c r="C4" t="n">
        <v>0</v>
      </c>
      <c r="D4" t="n">
        <v>0.00565</v>
      </c>
      <c r="E4" t="n">
        <v>1</v>
      </c>
      <c r="F4" t="n">
        <v>0.01</v>
      </c>
    </row>
    <row r="5">
      <c r="A5" t="inlineStr">
        <is>
          <t>ADA</t>
        </is>
      </c>
      <c r="B5" t="n">
        <v>1083.3</v>
      </c>
      <c r="C5" t="n">
        <v>0</v>
      </c>
      <c r="D5" t="n">
        <v>1083.3</v>
      </c>
      <c r="E5" t="n">
        <v>0.2428</v>
      </c>
      <c r="F5" t="n">
        <v>263.03</v>
      </c>
    </row>
    <row r="6">
      <c r="A6" t="inlineStr">
        <is>
          <t>SOL</t>
        </is>
      </c>
      <c r="B6" t="n">
        <v>0.50274219</v>
      </c>
      <c r="C6" t="n">
        <v>0</v>
      </c>
      <c r="D6" t="n">
        <v>0.50274219</v>
      </c>
      <c r="E6" t="n">
        <v>79.13</v>
      </c>
      <c r="F6" t="n">
        <v>39.78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69" t="inlineStr">
        <is>
          <t>Asset</t>
        </is>
      </c>
      <c r="B1" s="69" t="inlineStr">
        <is>
          <t>Free</t>
        </is>
      </c>
      <c r="C1" s="69" t="inlineStr">
        <is>
          <t>Locked</t>
        </is>
      </c>
      <c r="D1" s="69" t="inlineStr">
        <is>
          <t>Freeze</t>
        </is>
      </c>
      <c r="E1" s="69" t="inlineStr">
        <is>
          <t>Withdrawing</t>
        </is>
      </c>
      <c r="F1" s="69" t="inlineStr">
        <is>
          <t>Total</t>
        </is>
      </c>
    </row>
    <row r="2">
      <c r="A2" t="inlineStr">
        <is>
          <t>USDT</t>
        </is>
      </c>
      <c r="B2" t="n">
        <v>0.29346781</v>
      </c>
      <c r="C2" t="n">
        <v>0</v>
      </c>
      <c r="D2" t="n">
        <v>0</v>
      </c>
      <c r="E2" t="n">
        <v>0</v>
      </c>
      <c r="F2" t="n">
        <v>0.29346781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2025-08-09T21:26:12Z</dcterms:created>
  <dcterms:modified xmlns:dcterms="http://purl.org/dc/terms/" xmlns:xsi="http://www.w3.org/2001/XMLSchema-instance" xsi:type="dcterms:W3CDTF">2026-04-07T13:55:31Z</dcterms:modified>
</cp:coreProperties>
</file>